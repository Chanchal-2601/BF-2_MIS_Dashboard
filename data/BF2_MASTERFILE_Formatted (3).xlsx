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D74D00D-F484-4F26-B503-685645D2B390}" xr6:coauthVersionLast="47" xr6:coauthVersionMax="47" xr10:uidLastSave="{00000000-0000-0000-0000-000000000000}"/>
  <bookViews>
    <workbookView xWindow="-110" yWindow="-110" windowWidth="19420" windowHeight="10300" tabRatio="672" activeTab="1" xr2:uid="{00000000-000D-0000-FFFF-FFFF00000000}"/>
  </bookViews>
  <sheets>
    <sheet name="BF-2_Subhadrika" sheetId="1" r:id="rId1"/>
    <sheet name="Process_Parameters" sheetId="2" r:id="rId2"/>
    <sheet name="Raw_Material_Analysis" sheetId="3" r:id="rId3"/>
    <sheet name="BF_Gas and Hot_Metal_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3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2" i="2"/>
</calcChain>
</file>

<file path=xl/sharedStrings.xml><?xml version="1.0" encoding="utf-8"?>
<sst xmlns="http://schemas.openxmlformats.org/spreadsheetml/2006/main" count="315" uniqueCount="136">
  <si>
    <t>JINDAL STEEL LIMITED</t>
  </si>
  <si>
    <t>Angul, Odisha  |  Blast Furnace-2 "Bhagwati Subhadrika"</t>
  </si>
  <si>
    <t>BF-2 EDSS — Master Operational Dataset</t>
  </si>
  <si>
    <t>Executive Decision Support System — Operational Monitoring &amp; Performance Analysis</t>
  </si>
  <si>
    <t>Document Information</t>
  </si>
  <si>
    <t>Prepared for</t>
  </si>
  <si>
    <t>Jindal Steel Limited — Blast Furnace-2 Department</t>
  </si>
  <si>
    <t>Prepared by</t>
  </si>
  <si>
    <t>File status</t>
  </si>
  <si>
    <t>Master dataset — single source of truth for the BF-2 EDSS dashboard</t>
  </si>
  <si>
    <t>Last updated</t>
  </si>
  <si>
    <t>14-Jul-2026</t>
  </si>
  <si>
    <t>Coverage — Process_Parameters</t>
  </si>
  <si>
    <t>Coverage — Raw_Material_Analysis</t>
  </si>
  <si>
    <t>Coverage — BF_Gas and Hot_Metal_Analysis</t>
  </si>
  <si>
    <t>Sheet Index</t>
  </si>
  <si>
    <t>Sheet</t>
  </si>
  <si>
    <t>Contents</t>
  </si>
  <si>
    <t>Rows</t>
  </si>
  <si>
    <t>Process_Parameters</t>
  </si>
  <si>
    <t>Daily production, productivity, fuel rate, OEE, availability, status/comment</t>
  </si>
  <si>
    <t>Raw_Material_Analysis</t>
  </si>
  <si>
    <t>Daily sinter, pellet, and coke quality analysis</t>
  </si>
  <si>
    <t>BF_Gas and Hot_Metal_Analysis</t>
  </si>
  <si>
    <t>Daily BF gas balance, utilities, cast house, hot metal &amp; slag chemistry, gas constituents</t>
  </si>
  <si>
    <t>61 (+ Target row)</t>
  </si>
  <si>
    <t>Formatting Legend</t>
  </si>
  <si>
    <t>Blank cell</t>
  </si>
  <si>
    <t>Data not recorded / not logged for that day (left blank rather than assumed zero)</t>
  </si>
  <si>
    <t>"Not Available"</t>
  </si>
  <si>
    <t>Explicitly marked as unavailable in the original source file</t>
  </si>
  <si>
    <t>Yellow-filled row ("Target")</t>
  </si>
  <si>
    <t>Target / specification value for that parameter, not a daily reading</t>
  </si>
  <si>
    <t>Date</t>
  </si>
  <si>
    <t>Month</t>
  </si>
  <si>
    <t>Production</t>
  </si>
  <si>
    <t>Productivity</t>
  </si>
  <si>
    <t>Wind Volume</t>
  </si>
  <si>
    <t>HBT</t>
  </si>
  <si>
    <t>O2 Enrichment (%)</t>
  </si>
  <si>
    <t>Oxygen Consumption</t>
  </si>
  <si>
    <t>Iron Ore</t>
  </si>
  <si>
    <t>Sinter Used</t>
  </si>
  <si>
    <t>Pellet Used</t>
  </si>
  <si>
    <t>Coke Used</t>
  </si>
  <si>
    <t>PCI Used</t>
  </si>
  <si>
    <t>Limestone</t>
  </si>
  <si>
    <t>Coke Rate</t>
  </si>
  <si>
    <t>PCI Coal Rate</t>
  </si>
  <si>
    <t>Total Fuel Rate</t>
  </si>
  <si>
    <t>Sinter Percent</t>
  </si>
  <si>
    <t>Pellet Percent</t>
  </si>
  <si>
    <t>Iron in Burden</t>
  </si>
  <si>
    <t>Ore/Coke</t>
  </si>
  <si>
    <t>Slag Rate</t>
  </si>
  <si>
    <t>total slag generation</t>
  </si>
  <si>
    <t>Furnace Availability</t>
  </si>
  <si>
    <t>Performance Rate</t>
  </si>
  <si>
    <t>Quality product rate</t>
  </si>
  <si>
    <t>O E E</t>
  </si>
  <si>
    <t>Status</t>
  </si>
  <si>
    <t>Comment</t>
  </si>
  <si>
    <t>Not Available</t>
  </si>
  <si>
    <t>Running</t>
  </si>
  <si>
    <t>Normal and Stable Operation</t>
  </si>
  <si>
    <t>Shutdown</t>
  </si>
  <si>
    <t>Under Maintenance</t>
  </si>
  <si>
    <t>April</t>
  </si>
  <si>
    <t>May</t>
  </si>
  <si>
    <t>Al%(sinter)</t>
  </si>
  <si>
    <t>Fe total%(sinter)</t>
  </si>
  <si>
    <t>FeO%(sinter)</t>
  </si>
  <si>
    <t>Basicity(sinter)</t>
  </si>
  <si>
    <t>MPS(sinter)</t>
  </si>
  <si>
    <t>Al%(pellet)</t>
  </si>
  <si>
    <t>CaO%(pellet)</t>
  </si>
  <si>
    <t>MgO%(pellet)</t>
  </si>
  <si>
    <t>CCS(pellet)</t>
  </si>
  <si>
    <t>VM%(coke)</t>
  </si>
  <si>
    <t>Ash%(coke)</t>
  </si>
  <si>
    <t>Moisture%(coke)</t>
  </si>
  <si>
    <t>MPS(coke)</t>
  </si>
  <si>
    <t>Day</t>
  </si>
  <si>
    <t>BF Gas Consumed by Own Plants (CuM)</t>
  </si>
  <si>
    <t>BF Gas Consumed by Other Plants (CuM)</t>
  </si>
  <si>
    <t>BF Gas Total Generation (CuM)</t>
  </si>
  <si>
    <t>BF Gas Flaring (CuM)</t>
  </si>
  <si>
    <t>Oxygen (Nm3)</t>
  </si>
  <si>
    <t>Steam (t/thm)</t>
  </si>
  <si>
    <t>Nitrogen (Nm3)</t>
  </si>
  <si>
    <t>Power (kWh)</t>
  </si>
  <si>
    <t>Granulated Slag Generation (mt)</t>
  </si>
  <si>
    <t>Dolomite (mt)</t>
  </si>
  <si>
    <t>Quartz (mt)</t>
  </si>
  <si>
    <t>Pyroxinite (mt)</t>
  </si>
  <si>
    <t>Top Temperature Uptake (deg C)</t>
  </si>
  <si>
    <t>No of Ladles to SMS</t>
  </si>
  <si>
    <t>No of Casts in Taphole - 1</t>
  </si>
  <si>
    <t>No of Casts in Taphole - 2</t>
  </si>
  <si>
    <t>No of Casts in Taphole - 3</t>
  </si>
  <si>
    <t>No of Casts in Taphole - 4</t>
  </si>
  <si>
    <t>Hot Metal C (%)</t>
  </si>
  <si>
    <t>Hot Metal Mn (%)</t>
  </si>
  <si>
    <t>Hot Metal Si (%)</t>
  </si>
  <si>
    <t>Hot Metal S (%)</t>
  </si>
  <si>
    <t>Hot Metal P (%)</t>
  </si>
  <si>
    <t>Hot Metal Ti (%)</t>
  </si>
  <si>
    <t>Hot Metal Temperature (deg C)</t>
  </si>
  <si>
    <t>Slag SiO2 (%)</t>
  </si>
  <si>
    <t>Slag Al2O3 (%)</t>
  </si>
  <si>
    <t>Slag CaO (%)</t>
  </si>
  <si>
    <t>Slag MgO (%)</t>
  </si>
  <si>
    <t>Slag FeO (%)</t>
  </si>
  <si>
    <t>Slag MnO (%)</t>
  </si>
  <si>
    <t>Slag K2O (%)</t>
  </si>
  <si>
    <t>Slag TiO2 (%)</t>
  </si>
  <si>
    <t>Slag S (%)</t>
  </si>
  <si>
    <t>Slag Basicity B2 (Ratio)</t>
  </si>
  <si>
    <t>BF Gas CO (%)</t>
  </si>
  <si>
    <t>BF Gas CO2 (%)</t>
  </si>
  <si>
    <t>BF Gas H2 (%)</t>
  </si>
  <si>
    <t>BF Gas CO/CO2 Ratio</t>
  </si>
  <si>
    <t>BF Gas eta CO (%)</t>
  </si>
  <si>
    <t>Target</t>
  </si>
  <si>
    <t>4.4-4.5</t>
  </si>
  <si>
    <t>1500 min</t>
  </si>
  <si>
    <t>Chanchal Kumar Mandal, NIT Jamshedpur (Emp Code T-0543) - Internship</t>
  </si>
  <si>
    <t>M10(coke)</t>
  </si>
  <si>
    <t>M40(coke)</t>
  </si>
  <si>
    <t>Hot metal to SMS</t>
  </si>
  <si>
    <t xml:space="preserve">01-Apr-2026 to 31-May-2026 (61 days) </t>
  </si>
  <si>
    <t>01-April-2026 to 31-May-2026 (61 days)</t>
  </si>
  <si>
    <t>Hot Blast Pressure (bar)</t>
  </si>
  <si>
    <t>RAFT (deg C)</t>
  </si>
  <si>
    <t>Top Pressure (bar)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</si>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</sst>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24"/>
      <color rgb="FFFFFFFF"/>
      <name val="Arial"/>
    </font>
    <font>
      <i/>
      <sz val="11"/>
      <color rgb="FFFFF0F0"/>
      <name val="Arial"/>
    </font>
    <font>
      <b/>
      <sz val="16"/>
      <color rgb="FF1F2A44"/>
      <name val="Arial"/>
    </font>
    <font>
      <i/>
      <sz val="11"/>
      <color rgb="FF595959"/>
      <name val="Arial"/>
    </font>
    <font>
      <b/>
      <sz val="12"/>
      <color rgb="FF1F2A44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i/>
      <sz val="10"/>
      <name val="Arial"/>
    </font>
    <font>
      <i/>
      <sz val="10"/>
      <color rgb="FF808080"/>
      <name val="Arial"/>
    </font>
    <font>
      <b/>
      <i/>
      <sz val="10"/>
      <color rgb="FF806000"/>
      <name val="Arial"/>
    </font>
    <font>
      <sz val="11"/>
      <name val="Arial"/>
    </font>
    <font>
      <sz val="8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10"/>
      <color rgb="FFC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E1B32"/>
        <bgColor rgb="FF9E1B32"/>
      </patternFill>
    </fill>
    <fill>
      <patternFill patternType="solid">
        <fgColor rgb="FFF2F2F2"/>
        <bgColor rgb="FFF2F2F2"/>
      </patternFill>
    </fill>
    <fill>
      <patternFill patternType="solid">
        <fgColor rgb="FF2E5A88"/>
        <bgColor rgb="FF2E5A8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60">
    <xf numFmtId="0" fontId="0" fillId="0" borderId="0" xfId="0"/>
    <xf numFmtId="0" fontId="0" fillId="2" borderId="0" xfId="0" applyFill="1"/>
    <xf numFmtId="0" fontId="5" fillId="0" borderId="0" xfId="0" applyFont="1"/>
    <xf numFmtId="0" fontId="6" fillId="3" borderId="1" xfId="0" applyFont="1" applyFill="1" applyBorder="1"/>
    <xf numFmtId="0" fontId="8" fillId="4" borderId="1" xfId="0" applyFont="1" applyFill="1" applyBorder="1"/>
    <xf numFmtId="0" fontId="7" fillId="0" borderId="1" xfId="0" applyFont="1" applyBorder="1" applyAlignment="1">
      <alignment vertical="top" wrapText="1"/>
    </xf>
    <xf numFmtId="0" fontId="9" fillId="0" borderId="1" xfId="0" applyFont="1" applyBorder="1"/>
    <xf numFmtId="0" fontId="8" fillId="4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7" fillId="0" borderId="4" xfId="0" applyFont="1" applyBorder="1" applyAlignment="1">
      <alignment horizontal="center"/>
    </xf>
    <xf numFmtId="3" fontId="7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2" fontId="11" fillId="5" borderId="4" xfId="0" applyNumberFormat="1" applyFont="1" applyFill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4" fontId="7" fillId="0" borderId="4" xfId="0" applyNumberFormat="1" applyFont="1" applyBorder="1"/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horizontal="left" vertical="top" wrapText="1"/>
    </xf>
    <xf numFmtId="14" fontId="8" fillId="4" borderId="4" xfId="0" applyNumberFormat="1" applyFont="1" applyFill="1" applyBorder="1" applyAlignment="1">
      <alignment horizontal="center" vertical="center" wrapText="1"/>
    </xf>
    <xf numFmtId="14" fontId="11" fillId="5" borderId="4" xfId="0" applyNumberFormat="1" applyFont="1" applyFill="1" applyBorder="1"/>
    <xf numFmtId="14" fontId="0" fillId="0" borderId="4" xfId="0" applyNumberFormat="1" applyBorder="1"/>
    <xf numFmtId="14" fontId="7" fillId="6" borderId="4" xfId="0" applyNumberFormat="1" applyFont="1" applyFill="1" applyBorder="1"/>
    <xf numFmtId="3" fontId="7" fillId="6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2" fontId="7" fillId="6" borderId="4" xfId="0" applyNumberFormat="1" applyFont="1" applyFill="1" applyBorder="1" applyAlignment="1">
      <alignment horizontal="center"/>
    </xf>
    <xf numFmtId="1" fontId="7" fillId="6" borderId="4" xfId="0" applyNumberFormat="1" applyFont="1" applyFill="1" applyBorder="1" applyAlignment="1">
      <alignment horizontal="center"/>
    </xf>
    <xf numFmtId="0" fontId="0" fillId="6" borderId="4" xfId="0" applyFill="1" applyBorder="1"/>
    <xf numFmtId="14" fontId="0" fillId="0" borderId="5" xfId="0" applyNumberFormat="1" applyBorder="1"/>
    <xf numFmtId="3" fontId="16" fillId="9" borderId="4" xfId="1" applyNumberFormat="1" applyFont="1" applyFill="1" applyBorder="1" applyAlignment="1">
      <alignment horizontal="right" vertical="center"/>
    </xf>
    <xf numFmtId="3" fontId="15" fillId="0" borderId="4" xfId="1" applyNumberFormat="1" applyFont="1" applyBorder="1" applyAlignment="1">
      <alignment horizontal="right" vertical="center"/>
    </xf>
    <xf numFmtId="0" fontId="0" fillId="0" borderId="6" xfId="0" applyBorder="1"/>
    <xf numFmtId="3" fontId="15" fillId="7" borderId="4" xfId="1" applyNumberFormat="1" applyFont="1" applyFill="1" applyBorder="1" applyAlignment="1">
      <alignment horizontal="center" vertical="center"/>
    </xf>
    <xf numFmtId="3" fontId="17" fillId="8" borderId="4" xfId="1" applyNumberFormat="1" applyFont="1" applyFill="1" applyBorder="1" applyAlignment="1">
      <alignment horizontal="center" vertical="center"/>
    </xf>
    <xf numFmtId="3" fontId="17" fillId="7" borderId="4" xfId="1" applyNumberFormat="1" applyFont="1" applyFill="1" applyBorder="1" applyAlignment="1">
      <alignment horizontal="center" vertical="center"/>
    </xf>
    <xf numFmtId="3" fontId="15" fillId="0" borderId="4" xfId="1" applyNumberFormat="1" applyFont="1" applyBorder="1" applyAlignment="1">
      <alignment horizontal="center" vertical="center"/>
    </xf>
    <xf numFmtId="3" fontId="17" fillId="0" borderId="4" xfId="1" applyNumberFormat="1" applyFont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 wrapText="1"/>
    </xf>
    <xf numFmtId="2" fontId="17" fillId="7" borderId="4" xfId="1" applyNumberFormat="1" applyFont="1" applyFill="1" applyBorder="1" applyAlignment="1">
      <alignment horizontal="center" vertical="center"/>
    </xf>
    <xf numFmtId="2" fontId="17" fillId="0" borderId="4" xfId="1" applyNumberFormat="1" applyFont="1" applyBorder="1" applyAlignment="1">
      <alignment horizontal="center" vertical="center"/>
    </xf>
    <xf numFmtId="2" fontId="19" fillId="7" borderId="4" xfId="1" applyNumberFormat="1" applyFont="1" applyFill="1" applyBorder="1" applyAlignment="1">
      <alignment horizontal="center" vertical="center"/>
    </xf>
    <xf numFmtId="2" fontId="19" fillId="0" borderId="4" xfId="1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4" fontId="7" fillId="0" borderId="4" xfId="0" applyNumberFormat="1" applyFont="1" applyBorder="1" applyAlignment="1">
      <alignment horizontal="center"/>
    </xf>
    <xf numFmtId="0" fontId="3" fillId="0" borderId="0" xfId="0" applyFont="1"/>
    <xf numFmtId="0" fontId="0" fillId="0" borderId="0" xfId="0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14" fontId="0" fillId="0" borderId="9" xfId="0" applyNumberFormat="1" applyBorder="1"/>
    <xf numFmtId="0" fontId="7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3" fontId="0" fillId="0" borderId="8" xfId="0" applyNumberFormat="1" applyBorder="1"/>
  </cellXfs>
  <cellStyles count="2">
    <cellStyle name="Normal" xfId="0" builtinId="0"/>
    <cellStyle name="Normal 2" xfId="1" xr:uid="{82F314B2-9BAC-4546-BC63-2B9503EB4A68}"/>
  </cellStyles>
  <dxfs count="9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1238565</xdr:colOff>
      <xdr:row>3</xdr:row>
      <xdr:rowOff>6288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E2A4D0-FD4F-D3F6-BA86-48CFCDAF0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476" y="0"/>
          <a:ext cx="1238564" cy="8110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cess_Parameters" displayName="Tbl_Process_Parameters" ref="A1:AE63" headerRowDxfId="98" totalsRowDxfId="97">
  <autoFilter ref="A1:AE63" xr:uid="{00000000-0009-0000-0100-000001000000}"/>
  <tableColumns count="31">
    <tableColumn id="1" xr3:uid="{00000000-0010-0000-0000-000001000000}" name="Date" dataDxfId="96"/>
    <tableColumn id="2" xr3:uid="{00000000-0010-0000-0000-000002000000}" name="Month" dataDxfId="95"/>
    <tableColumn id="3" xr3:uid="{00000000-0010-0000-0000-000003000000}" name="Hot metal to SMS" dataDxfId="94"/>
    <tableColumn id="4" xr3:uid="{00000000-0010-0000-0000-000004000000}" name="Production" dataDxfId="93"/>
    <tableColumn id="5" xr3:uid="{00000000-0010-0000-0000-000005000000}" name="Productivity" dataDxfId="92"/>
    <tableColumn id="6" xr3:uid="{00000000-0010-0000-0000-000006000000}" name="Wind Volume" dataDxfId="91"/>
    <tableColumn id="7" xr3:uid="{00000000-0010-0000-0000-000007000000}" name="HBT" dataDxfId="90"/>
    <tableColumn id="34" xr3:uid="{CF5B08E0-C9B6-4D76-8810-2DFC7863B7CB}" name="Hot Blast Pressure (bar)" dataDxfId="89"/>
    <tableColumn id="8" xr3:uid="{00000000-0010-0000-0000-000008000000}" name="O2 Enrichment (%)" dataDxfId="88"/>
    <tableColumn id="9" xr3:uid="{00000000-0010-0000-0000-000009000000}" name="Oxygen Consumption" dataDxfId="87"/>
    <tableColumn id="10" xr3:uid="{00000000-0010-0000-0000-00000A000000}" name="Iron Ore" dataDxfId="86"/>
    <tableColumn id="11" xr3:uid="{00000000-0010-0000-0000-00000B000000}" name="Sinter Used" dataDxfId="85"/>
    <tableColumn id="12" xr3:uid="{00000000-0010-0000-0000-00000C000000}" name="Pellet Used" dataDxfId="84"/>
    <tableColumn id="13" xr3:uid="{00000000-0010-0000-0000-00000D000000}" name="Coke Used" dataDxfId="83"/>
    <tableColumn id="14" xr3:uid="{00000000-0010-0000-0000-00000E000000}" name="PCI Used" dataDxfId="82"/>
    <tableColumn id="15" xr3:uid="{00000000-0010-0000-0000-00000F000000}" name="Limestone" dataDxfId="81"/>
    <tableColumn id="16" xr3:uid="{00000000-0010-0000-0000-000010000000}" name="Coke Rate" dataDxfId="80"/>
    <tableColumn id="17" xr3:uid="{00000000-0010-0000-0000-000011000000}" name="PCI Coal Rate" dataDxfId="79">
      <calculatedColumnFormula>S2-Q2</calculatedColumnFormula>
    </tableColumn>
    <tableColumn id="18" xr3:uid="{00000000-0010-0000-0000-000012000000}" name="Total Fuel Rate" dataDxfId="78"/>
    <tableColumn id="19" xr3:uid="{00000000-0010-0000-0000-000013000000}" name="Sinter Percent" dataDxfId="77"/>
    <tableColumn id="20" xr3:uid="{00000000-0010-0000-0000-000014000000}" name="Pellet Percent" dataDxfId="76"/>
    <tableColumn id="21" xr3:uid="{00000000-0010-0000-0000-000015000000}" name="Iron in Burden" dataDxfId="75"/>
    <tableColumn id="22" xr3:uid="{00000000-0010-0000-0000-000016000000}" name="Ore/Coke" dataDxfId="74"/>
    <tableColumn id="23" xr3:uid="{00000000-0010-0000-0000-000017000000}" name="Slag Rate" dataDxfId="73"/>
    <tableColumn id="24" xr3:uid="{00000000-0010-0000-0000-000018000000}" name="total slag generation" dataDxfId="72"/>
    <tableColumn id="25" xr3:uid="{00000000-0010-0000-0000-000019000000}" name="Furnace Availability" dataDxfId="71"/>
    <tableColumn id="26" xr3:uid="{00000000-0010-0000-0000-00001A000000}" name="Performance Rate" dataDxfId="70"/>
    <tableColumn id="27" xr3:uid="{00000000-0010-0000-0000-00001B000000}" name="Quality product rate" dataDxfId="69"/>
    <tableColumn id="28" xr3:uid="{00000000-0010-0000-0000-00001C000000}" name="O E E" dataDxfId="68"/>
    <tableColumn id="29" xr3:uid="{00000000-0010-0000-0000-00001D000000}" name="Status" dataDxfId="67"/>
    <tableColumn id="30" xr3:uid="{00000000-0010-0000-0000-00001E000000}" name="Comment" dataDxfId="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aw_Material_Analysis" displayName="Tbl_Raw_Material_Analysis" ref="A1:P62" headerRowDxfId="65" totalsRowDxfId="64">
  <autoFilter ref="A1:P62" xr:uid="{00000000-0009-0000-0100-000002000000}"/>
  <tableColumns count="16">
    <tableColumn id="1" xr3:uid="{00000000-0010-0000-0100-000001000000}" name="Date" dataDxfId="63"/>
    <tableColumn id="2" xr3:uid="{00000000-0010-0000-0100-000002000000}" name="Al%(sinter)" dataDxfId="62"/>
    <tableColumn id="3" xr3:uid="{00000000-0010-0000-0100-000003000000}" name="Fe total%(sinter)" dataDxfId="61"/>
    <tableColumn id="4" xr3:uid="{00000000-0010-0000-0100-000004000000}" name="FeO%(sinter)" dataDxfId="60"/>
    <tableColumn id="5" xr3:uid="{00000000-0010-0000-0100-000005000000}" name="Basicity(sinter)" dataDxfId="59"/>
    <tableColumn id="6" xr3:uid="{00000000-0010-0000-0100-000006000000}" name="MPS(sinter)" dataDxfId="58"/>
    <tableColumn id="7" xr3:uid="{00000000-0010-0000-0100-000007000000}" name="Al%(pellet)" dataDxfId="57"/>
    <tableColumn id="8" xr3:uid="{00000000-0010-0000-0100-000008000000}" name="CaO%(pellet)" dataDxfId="56"/>
    <tableColumn id="9" xr3:uid="{00000000-0010-0000-0100-000009000000}" name="MgO%(pellet)" dataDxfId="55"/>
    <tableColumn id="10" xr3:uid="{00000000-0010-0000-0100-00000A000000}" name="CCS(pellet)" dataDxfId="54"/>
    <tableColumn id="11" xr3:uid="{00000000-0010-0000-0100-00000B000000}" name="VM%(coke)" dataDxfId="53"/>
    <tableColumn id="12" xr3:uid="{00000000-0010-0000-0100-00000C000000}" name="Ash%(coke)" dataDxfId="52"/>
    <tableColumn id="13" xr3:uid="{00000000-0010-0000-0100-00000D000000}" name="Moisture%(coke)" dataDxfId="51"/>
    <tableColumn id="14" xr3:uid="{00000000-0010-0000-0100-00000E000000}" name="MPS(coke)" dataDxfId="50"/>
    <tableColumn id="15" xr3:uid="{07F0C67E-598C-49B2-B37D-70A5A9C5B14D}" name="M10(coke)" dataDxfId="49" totalsRowDxfId="48"/>
    <tableColumn id="16" xr3:uid="{7290EAF3-FA1C-47B8-87F0-5CF9AFED67CA}" name="M40(coke)" dataDxfId="47" totalsRow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BF_Gas_and_Hot_Metal_Analysis" displayName="Tbl_BF_Gas_and_Hot_Metal_Analysis" ref="A1:AQ66" headerRowDxfId="45" totalsRowDxfId="44">
  <autoFilter ref="A1:AQ66" xr:uid="{00000000-0009-0000-0100-000003000000}"/>
  <tableColumns count="43">
    <tableColumn id="1" xr3:uid="{00000000-0010-0000-0200-000001000000}" name="Day" dataDxfId="43"/>
    <tableColumn id="2" xr3:uid="{00000000-0010-0000-0200-000002000000}" name="BF Gas Consumed by Own Plants (CuM)" dataDxfId="42"/>
    <tableColumn id="3" xr3:uid="{00000000-0010-0000-0200-000003000000}" name="BF Gas Consumed by Other Plants (CuM)" dataDxfId="41"/>
    <tableColumn id="4" xr3:uid="{00000000-0010-0000-0200-000004000000}" name="BF Gas Total Generation (CuM)" dataDxfId="40"/>
    <tableColumn id="5" xr3:uid="{00000000-0010-0000-0200-000005000000}" name="BF Gas Flaring (CuM)" dataDxfId="39"/>
    <tableColumn id="6" xr3:uid="{00000000-0010-0000-0200-000006000000}" name="Oxygen (Nm3)" dataDxfId="38"/>
    <tableColumn id="7" xr3:uid="{00000000-0010-0000-0200-000007000000}" name="Steam (t/thm)" dataDxfId="37"/>
    <tableColumn id="8" xr3:uid="{00000000-0010-0000-0200-000008000000}" name="Nitrogen (Nm3)" dataDxfId="36"/>
    <tableColumn id="9" xr3:uid="{00000000-0010-0000-0200-000009000000}" name="Power (kWh)" dataDxfId="35"/>
    <tableColumn id="10" xr3:uid="{00000000-0010-0000-0200-00000A000000}" name="Granulated Slag Generation (mt)" dataDxfId="34"/>
    <tableColumn id="11" xr3:uid="{00000000-0010-0000-0200-00000B000000}" name="Dolomite (mt)" dataDxfId="33"/>
    <tableColumn id="12" xr3:uid="{00000000-0010-0000-0200-00000C000000}" name="Quartz (mt)" dataDxfId="32"/>
    <tableColumn id="13" xr3:uid="{00000000-0010-0000-0200-00000D000000}" name="Pyroxinite (mt)" dataDxfId="31"/>
    <tableColumn id="14" xr3:uid="{00000000-0010-0000-0200-00000E000000}" name="Top Temperature Uptake (deg C)" dataDxfId="30"/>
    <tableColumn id="43" xr3:uid="{E5789931-D0E9-44F3-947A-919955AD2E69}" name="Top Pressure (bar)" dataDxfId="29"/>
    <tableColumn id="15" xr3:uid="{00000000-0010-0000-0200-00000F000000}" name="No of Ladles to SMS" dataDxfId="28"/>
    <tableColumn id="16" xr3:uid="{00000000-0010-0000-0200-000010000000}" name="No of Casts in Taphole - 1" dataDxfId="27"/>
    <tableColumn id="17" xr3:uid="{00000000-0010-0000-0200-000011000000}" name="No of Casts in Taphole - 2" dataDxfId="26"/>
    <tableColumn id="18" xr3:uid="{00000000-0010-0000-0200-000012000000}" name="No of Casts in Taphole - 3" dataDxfId="25"/>
    <tableColumn id="19" xr3:uid="{00000000-0010-0000-0200-000013000000}" name="No of Casts in Taphole - 4" dataDxfId="24"/>
    <tableColumn id="20" xr3:uid="{00000000-0010-0000-0200-000014000000}" name="Hot Metal C (%)" dataDxfId="23"/>
    <tableColumn id="21" xr3:uid="{00000000-0010-0000-0200-000015000000}" name="Hot Metal Mn (%)" dataDxfId="22"/>
    <tableColumn id="22" xr3:uid="{00000000-0010-0000-0200-000016000000}" name="Hot Metal Si (%)" dataDxfId="21"/>
    <tableColumn id="23" xr3:uid="{00000000-0010-0000-0200-000017000000}" name="Hot Metal S (%)" dataDxfId="20"/>
    <tableColumn id="24" xr3:uid="{00000000-0010-0000-0200-000018000000}" name="Hot Metal P (%)" dataDxfId="19"/>
    <tableColumn id="25" xr3:uid="{00000000-0010-0000-0200-000019000000}" name="Hot Metal Ti (%)" dataDxfId="18"/>
    <tableColumn id="26" xr3:uid="{00000000-0010-0000-0200-00001A000000}" name="Hot Metal Temperature (deg C)" dataDxfId="17"/>
    <tableColumn id="27" xr3:uid="{00000000-0010-0000-0200-00001B000000}" name="Slag SiO2 (%)" dataDxfId="16"/>
    <tableColumn id="28" xr3:uid="{00000000-0010-0000-0200-00001C000000}" name="Slag Al2O3 (%)" dataDxfId="15"/>
    <tableColumn id="29" xr3:uid="{00000000-0010-0000-0200-00001D000000}" name="Slag CaO (%)" dataDxfId="14"/>
    <tableColumn id="30" xr3:uid="{00000000-0010-0000-0200-00001E000000}" name="Slag MgO (%)" dataDxfId="13"/>
    <tableColumn id="31" xr3:uid="{00000000-0010-0000-0200-00001F000000}" name="Slag FeO (%)" dataDxfId="12"/>
    <tableColumn id="32" xr3:uid="{00000000-0010-0000-0200-000020000000}" name="Slag MnO (%)" dataDxfId="11"/>
    <tableColumn id="33" xr3:uid="{00000000-0010-0000-0200-000021000000}" name="Slag K2O (%)" dataDxfId="10"/>
    <tableColumn id="34" xr3:uid="{00000000-0010-0000-0200-000022000000}" name="Slag TiO2 (%)" dataDxfId="9"/>
    <tableColumn id="35" xr3:uid="{00000000-0010-0000-0200-000023000000}" name="Slag S (%)" dataDxfId="8"/>
    <tableColumn id="36" xr3:uid="{00000000-0010-0000-0200-000024000000}" name="Slag Basicity B2 (Ratio)" dataDxfId="7"/>
    <tableColumn id="37" xr3:uid="{00000000-0010-0000-0200-000025000000}" name="BF Gas CO (%)" dataDxfId="6"/>
    <tableColumn id="38" xr3:uid="{00000000-0010-0000-0200-000026000000}" name="BF Gas CO2 (%)" dataDxfId="5"/>
    <tableColumn id="39" xr3:uid="{00000000-0010-0000-0200-000027000000}" name="BF Gas H2 (%)" dataDxfId="4"/>
    <tableColumn id="40" xr3:uid="{00000000-0010-0000-0200-000028000000}" name="BF Gas CO/CO2 Ratio" dataDxfId="3"/>
    <tableColumn id="41" xr3:uid="{00000000-0010-0000-0200-000029000000}" name="BF Gas eta CO (%)" dataDxfId="2"/>
    <tableColumn id="42" xr3:uid="{69637A60-4A36-4D71-B10D-34F1E47CE853}" name="RAFT (deg C)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1:H29"/>
  <sheetViews>
    <sheetView showGridLines="0" zoomScale="85" zoomScaleNormal="85" workbookViewId="0">
      <selection activeCell="D29" sqref="D29:H29"/>
    </sheetView>
  </sheetViews>
  <sheetFormatPr defaultRowHeight="14.5" x14ac:dyDescent="0.35"/>
  <cols>
    <col min="1" max="1" width="3" customWidth="1"/>
    <col min="2" max="2" width="42.1796875" bestFit="1" customWidth="1"/>
    <col min="3" max="4" width="22" customWidth="1"/>
    <col min="5" max="8" width="14" customWidth="1"/>
  </cols>
  <sheetData>
    <row r="1" spans="1:8" ht="6" customHeight="1" x14ac:dyDescent="0.35">
      <c r="A1" s="1"/>
      <c r="B1" s="1"/>
      <c r="C1" s="1"/>
      <c r="D1" s="1"/>
      <c r="E1" s="1"/>
      <c r="F1" s="1"/>
      <c r="G1" s="1"/>
      <c r="H1" s="1"/>
    </row>
    <row r="2" spans="1:8" ht="34" customHeight="1" x14ac:dyDescent="0.35">
      <c r="A2" s="1"/>
      <c r="B2" s="51" t="s">
        <v>0</v>
      </c>
      <c r="C2" s="52"/>
      <c r="D2" s="52"/>
      <c r="E2" s="52"/>
      <c r="F2" s="52"/>
      <c r="G2" s="52"/>
      <c r="H2" s="52"/>
    </row>
    <row r="3" spans="1:8" ht="23.5" customHeight="1" x14ac:dyDescent="0.35">
      <c r="A3" s="1"/>
      <c r="B3" s="54" t="s">
        <v>1</v>
      </c>
      <c r="C3" s="52"/>
      <c r="D3" s="52"/>
      <c r="E3" s="52"/>
      <c r="F3" s="52"/>
      <c r="G3" s="52"/>
      <c r="H3" s="52"/>
    </row>
    <row r="6" spans="1:8" ht="20" x14ac:dyDescent="0.4">
      <c r="B6" s="46" t="s">
        <v>2</v>
      </c>
      <c r="C6" s="47"/>
      <c r="D6" s="47"/>
      <c r="E6" s="47"/>
      <c r="F6" s="47"/>
      <c r="G6" s="47"/>
      <c r="H6" s="47"/>
    </row>
    <row r="7" spans="1:8" x14ac:dyDescent="0.35">
      <c r="B7" s="53" t="s">
        <v>3</v>
      </c>
      <c r="C7" s="47"/>
      <c r="D7" s="47"/>
      <c r="E7" s="47"/>
      <c r="F7" s="47"/>
      <c r="G7" s="47"/>
      <c r="H7" s="47"/>
    </row>
    <row r="10" spans="1:8" ht="15.5" x14ac:dyDescent="0.35">
      <c r="B10" s="2" t="s">
        <v>4</v>
      </c>
    </row>
    <row r="11" spans="1:8" x14ac:dyDescent="0.35">
      <c r="B11" s="3" t="s">
        <v>5</v>
      </c>
      <c r="D11" s="48" t="s">
        <v>6</v>
      </c>
      <c r="E11" s="49"/>
      <c r="F11" s="49"/>
      <c r="G11" s="49"/>
      <c r="H11" s="50"/>
    </row>
    <row r="12" spans="1:8" x14ac:dyDescent="0.35">
      <c r="B12" s="3" t="s">
        <v>7</v>
      </c>
      <c r="D12" s="48" t="s">
        <v>126</v>
      </c>
      <c r="E12" s="49"/>
      <c r="F12" s="49"/>
      <c r="G12" s="49"/>
      <c r="H12" s="50"/>
    </row>
    <row r="13" spans="1:8" x14ac:dyDescent="0.35">
      <c r="B13" s="3" t="s">
        <v>8</v>
      </c>
      <c r="D13" s="48" t="s">
        <v>9</v>
      </c>
      <c r="E13" s="49"/>
      <c r="F13" s="49"/>
      <c r="G13" s="49"/>
      <c r="H13" s="50"/>
    </row>
    <row r="14" spans="1:8" x14ac:dyDescent="0.35">
      <c r="B14" s="3" t="s">
        <v>10</v>
      </c>
      <c r="D14" s="48" t="s">
        <v>11</v>
      </c>
      <c r="E14" s="49"/>
      <c r="F14" s="49"/>
      <c r="G14" s="49"/>
      <c r="H14" s="50"/>
    </row>
    <row r="15" spans="1:8" x14ac:dyDescent="0.35">
      <c r="B15" s="3" t="s">
        <v>12</v>
      </c>
      <c r="D15" s="48" t="s">
        <v>131</v>
      </c>
      <c r="E15" s="49"/>
      <c r="F15" s="49"/>
      <c r="G15" s="49"/>
      <c r="H15" s="50"/>
    </row>
    <row r="16" spans="1:8" x14ac:dyDescent="0.35">
      <c r="B16" s="3" t="s">
        <v>13</v>
      </c>
      <c r="D16" s="48" t="s">
        <v>131</v>
      </c>
      <c r="E16" s="49"/>
      <c r="F16" s="49"/>
      <c r="G16" s="49"/>
      <c r="H16" s="50"/>
    </row>
    <row r="17" spans="2:8" x14ac:dyDescent="0.35">
      <c r="B17" s="3" t="s">
        <v>14</v>
      </c>
      <c r="D17" s="48" t="s">
        <v>130</v>
      </c>
      <c r="E17" s="49"/>
      <c r="F17" s="49"/>
      <c r="G17" s="49"/>
      <c r="H17" s="50"/>
    </row>
    <row r="19" spans="2:8" ht="15.5" x14ac:dyDescent="0.35">
      <c r="B19" s="2" t="s">
        <v>15</v>
      </c>
    </row>
    <row r="20" spans="2:8" x14ac:dyDescent="0.35">
      <c r="B20" s="4" t="s">
        <v>16</v>
      </c>
      <c r="C20" s="4" t="s">
        <v>17</v>
      </c>
      <c r="D20" s="4" t="s">
        <v>18</v>
      </c>
    </row>
    <row r="21" spans="2:8" ht="50" x14ac:dyDescent="0.35">
      <c r="B21" s="5" t="s">
        <v>19</v>
      </c>
      <c r="C21" s="5" t="s">
        <v>20</v>
      </c>
      <c r="D21" s="19">
        <v>61</v>
      </c>
    </row>
    <row r="22" spans="2:8" ht="25" x14ac:dyDescent="0.35">
      <c r="B22" s="5" t="s">
        <v>21</v>
      </c>
      <c r="C22" s="5" t="s">
        <v>22</v>
      </c>
      <c r="D22" s="19">
        <v>61</v>
      </c>
    </row>
    <row r="23" spans="2:8" ht="50" x14ac:dyDescent="0.35">
      <c r="B23" s="5" t="s">
        <v>23</v>
      </c>
      <c r="C23" s="5" t="s">
        <v>24</v>
      </c>
      <c r="D23" s="19" t="s">
        <v>25</v>
      </c>
    </row>
    <row r="26" spans="2:8" ht="15.5" x14ac:dyDescent="0.35">
      <c r="B26" s="2" t="s">
        <v>26</v>
      </c>
    </row>
    <row r="27" spans="2:8" x14ac:dyDescent="0.35">
      <c r="B27" s="6" t="s">
        <v>27</v>
      </c>
      <c r="D27" s="48" t="s">
        <v>28</v>
      </c>
      <c r="E27" s="49"/>
      <c r="F27" s="49"/>
      <c r="G27" s="49"/>
      <c r="H27" s="50"/>
    </row>
    <row r="28" spans="2:8" x14ac:dyDescent="0.35">
      <c r="B28" s="6" t="s">
        <v>29</v>
      </c>
      <c r="D28" s="48" t="s">
        <v>30</v>
      </c>
      <c r="E28" s="49"/>
      <c r="F28" s="49"/>
      <c r="G28" s="49"/>
      <c r="H28" s="50"/>
    </row>
    <row r="29" spans="2:8" x14ac:dyDescent="0.35">
      <c r="B29" s="6" t="s">
        <v>31</v>
      </c>
      <c r="D29" s="48" t="s">
        <v>32</v>
      </c>
      <c r="E29" s="49"/>
      <c r="F29" s="49"/>
      <c r="G29" s="49"/>
      <c r="H29" s="50"/>
    </row>
  </sheetData>
  <mergeCells count="14">
    <mergeCell ref="B6:H6"/>
    <mergeCell ref="D27:H27"/>
    <mergeCell ref="B2:H2"/>
    <mergeCell ref="D28:H28"/>
    <mergeCell ref="D29:H29"/>
    <mergeCell ref="B7:H7"/>
    <mergeCell ref="D14:H14"/>
    <mergeCell ref="B3:H3"/>
    <mergeCell ref="D17:H17"/>
    <mergeCell ref="D12:H12"/>
    <mergeCell ref="D15:H15"/>
    <mergeCell ref="D16:H16"/>
    <mergeCell ref="D11:H11"/>
    <mergeCell ref="D13:H1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63"/>
  <sheetViews>
    <sheetView showGridLines="0" tabSelected="1" zoomScale="113" zoomScaleNormal="85" workbookViewId="0">
      <pane xSplit="1" ySplit="1" topLeftCell="B54" activePane="bottomRight" state="frozen"/>
      <selection pane="topRight"/>
      <selection pane="bottomLeft"/>
      <selection pane="bottomRight" activeCell="D64" sqref="D64"/>
    </sheetView>
  </sheetViews>
  <sheetFormatPr defaultRowHeight="14.5" x14ac:dyDescent="0.35"/>
  <cols>
    <col min="1" max="1" width="15.36328125" style="22" bestFit="1" customWidth="1"/>
    <col min="2" max="2" width="13" style="8" customWidth="1"/>
    <col min="3" max="3" width="19" style="8" customWidth="1"/>
    <col min="4" max="4" width="15.54296875" style="8" bestFit="1" customWidth="1"/>
    <col min="5" max="5" width="14" style="8" customWidth="1"/>
    <col min="6" max="8" width="13" style="8" customWidth="1"/>
    <col min="9" max="9" width="19" style="8" customWidth="1"/>
    <col min="10" max="10" width="20" style="8" customWidth="1"/>
    <col min="11" max="17" width="13" style="8" customWidth="1"/>
    <col min="18" max="18" width="15" style="8" customWidth="1"/>
    <col min="19" max="19" width="17" style="8" customWidth="1"/>
    <col min="20" max="22" width="16" style="8" customWidth="1"/>
    <col min="23" max="24" width="13" style="8" customWidth="1"/>
    <col min="25" max="25" width="23" style="8" customWidth="1"/>
    <col min="26" max="26" width="22" style="8" customWidth="1"/>
    <col min="27" max="27" width="18" style="8" customWidth="1"/>
    <col min="28" max="28" width="22" style="8" customWidth="1"/>
    <col min="29" max="30" width="13" style="8" customWidth="1"/>
    <col min="31" max="31" width="40" style="8" customWidth="1"/>
    <col min="32" max="16384" width="8.7265625" style="8"/>
  </cols>
  <sheetData>
    <row r="1" spans="1:31" ht="42" customHeight="1" x14ac:dyDescent="0.35">
      <c r="A1" s="20" t="s">
        <v>33</v>
      </c>
      <c r="B1" s="7" t="s">
        <v>34</v>
      </c>
      <c r="C1" s="38" t="s">
        <v>129</v>
      </c>
      <c r="D1" s="38" t="s">
        <v>35</v>
      </c>
      <c r="E1" s="7" t="s">
        <v>36</v>
      </c>
      <c r="F1" s="7" t="s">
        <v>37</v>
      </c>
      <c r="G1" s="7" t="s">
        <v>38</v>
      </c>
      <c r="H1" s="38" t="s">
        <v>132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  <c r="AB1" s="7" t="s">
        <v>58</v>
      </c>
      <c r="AC1" s="7" t="s">
        <v>59</v>
      </c>
      <c r="AD1" s="7" t="s">
        <v>60</v>
      </c>
      <c r="AE1" s="7" t="s">
        <v>61</v>
      </c>
    </row>
    <row r="2" spans="1:31" x14ac:dyDescent="0.35">
      <c r="A2" s="16">
        <v>46113</v>
      </c>
      <c r="B2" s="9" t="s">
        <v>67</v>
      </c>
      <c r="C2" s="10">
        <v>10474</v>
      </c>
      <c r="D2" s="10">
        <v>10754</v>
      </c>
      <c r="E2" s="9">
        <v>2.2999999999999998</v>
      </c>
      <c r="F2" s="10">
        <v>6180</v>
      </c>
      <c r="G2" s="9">
        <v>1125</v>
      </c>
      <c r="H2" s="9">
        <v>4.29</v>
      </c>
      <c r="I2" s="12">
        <v>6.7</v>
      </c>
      <c r="J2" s="10">
        <v>35144</v>
      </c>
      <c r="K2" s="10">
        <v>0</v>
      </c>
      <c r="L2" s="10">
        <v>6096</v>
      </c>
      <c r="M2" s="10">
        <v>11320</v>
      </c>
      <c r="N2" s="10">
        <v>1951</v>
      </c>
      <c r="O2" s="10">
        <v>2250</v>
      </c>
      <c r="P2" s="10">
        <v>450</v>
      </c>
      <c r="Q2" s="18">
        <v>356</v>
      </c>
      <c r="R2" s="10">
        <f>S2-Q2</f>
        <v>184</v>
      </c>
      <c r="S2" s="10">
        <v>540</v>
      </c>
      <c r="T2" s="10">
        <v>35</v>
      </c>
      <c r="U2" s="10">
        <v>65</v>
      </c>
      <c r="V2" s="9">
        <v>59.18</v>
      </c>
      <c r="W2" s="10">
        <v>6.93</v>
      </c>
      <c r="X2" s="10">
        <v>350.01</v>
      </c>
      <c r="Y2" s="12">
        <v>3764</v>
      </c>
      <c r="Z2" s="9">
        <v>1</v>
      </c>
      <c r="AA2" s="9">
        <v>0.98</v>
      </c>
      <c r="AB2" s="9">
        <v>1</v>
      </c>
      <c r="AC2" s="9">
        <v>0.98</v>
      </c>
      <c r="AD2" s="9" t="s">
        <v>63</v>
      </c>
      <c r="AE2" s="9" t="s">
        <v>64</v>
      </c>
    </row>
    <row r="3" spans="1:31" x14ac:dyDescent="0.35">
      <c r="A3" s="16">
        <v>46114</v>
      </c>
      <c r="B3" s="9" t="s">
        <v>67</v>
      </c>
      <c r="C3" s="10">
        <v>10650</v>
      </c>
      <c r="D3" s="10">
        <v>10650</v>
      </c>
      <c r="E3" s="9">
        <v>2.2999999999999998</v>
      </c>
      <c r="F3" s="10">
        <v>6073</v>
      </c>
      <c r="G3" s="9">
        <v>1144</v>
      </c>
      <c r="H3" s="9">
        <v>4.33</v>
      </c>
      <c r="I3" s="12">
        <v>6.6</v>
      </c>
      <c r="J3" s="10">
        <v>36013</v>
      </c>
      <c r="K3" s="10">
        <v>0</v>
      </c>
      <c r="L3" s="10">
        <v>5446</v>
      </c>
      <c r="M3" s="10">
        <v>11573</v>
      </c>
      <c r="N3" s="10">
        <v>1845</v>
      </c>
      <c r="O3" s="10">
        <v>2234</v>
      </c>
      <c r="P3" s="10">
        <v>347</v>
      </c>
      <c r="Q3" s="18">
        <v>356</v>
      </c>
      <c r="R3" s="10">
        <f t="shared" ref="R3:R62" si="0">S3-Q3</f>
        <v>185</v>
      </c>
      <c r="S3" s="10">
        <v>541</v>
      </c>
      <c r="T3" s="10">
        <v>32</v>
      </c>
      <c r="U3" s="10">
        <v>68</v>
      </c>
      <c r="V3" s="9">
        <v>59.84</v>
      </c>
      <c r="W3" s="10">
        <v>7.07</v>
      </c>
      <c r="X3" s="10">
        <v>350.05</v>
      </c>
      <c r="Y3" s="12">
        <v>3728</v>
      </c>
      <c r="Z3" s="9">
        <v>1</v>
      </c>
      <c r="AA3" s="9">
        <v>0.97</v>
      </c>
      <c r="AB3" s="9">
        <v>0.84</v>
      </c>
      <c r="AC3" s="9">
        <v>0.81479999999999997</v>
      </c>
      <c r="AD3" s="9" t="s">
        <v>63</v>
      </c>
      <c r="AE3" s="9" t="s">
        <v>64</v>
      </c>
    </row>
    <row r="4" spans="1:31" x14ac:dyDescent="0.35">
      <c r="A4" s="16">
        <v>46115</v>
      </c>
      <c r="B4" s="9" t="s">
        <v>67</v>
      </c>
      <c r="C4" s="10">
        <v>8020</v>
      </c>
      <c r="D4" s="10">
        <v>8020</v>
      </c>
      <c r="E4" s="9">
        <v>1.7</v>
      </c>
      <c r="F4" s="10">
        <v>5127</v>
      </c>
      <c r="G4" s="9">
        <v>1140</v>
      </c>
      <c r="H4" s="9">
        <v>3.96</v>
      </c>
      <c r="I4" s="12">
        <v>4.88</v>
      </c>
      <c r="J4" s="10">
        <v>26242</v>
      </c>
      <c r="K4" s="10">
        <v>0</v>
      </c>
      <c r="L4" s="10">
        <v>3586</v>
      </c>
      <c r="M4" s="10">
        <v>9220</v>
      </c>
      <c r="N4" s="10">
        <v>2525</v>
      </c>
      <c r="O4" s="10">
        <v>1460</v>
      </c>
      <c r="P4" s="10">
        <v>438</v>
      </c>
      <c r="Q4" s="18">
        <v>393</v>
      </c>
      <c r="R4" s="10">
        <f t="shared" si="0"/>
        <v>160</v>
      </c>
      <c r="S4" s="10">
        <v>553</v>
      </c>
      <c r="T4" s="10">
        <v>28</v>
      </c>
      <c r="U4" s="10">
        <v>72</v>
      </c>
      <c r="V4" s="9">
        <v>60.37</v>
      </c>
      <c r="W4" s="10">
        <v>4.3</v>
      </c>
      <c r="X4" s="10">
        <v>330.05</v>
      </c>
      <c r="Y4" s="12">
        <v>2647</v>
      </c>
      <c r="Z4" s="9">
        <v>1</v>
      </c>
      <c r="AA4" s="9">
        <v>0.73</v>
      </c>
      <c r="AB4" s="9">
        <v>0.84</v>
      </c>
      <c r="AC4" s="9">
        <v>0.61319999999999997</v>
      </c>
      <c r="AD4" s="9" t="s">
        <v>63</v>
      </c>
      <c r="AE4" s="9" t="s">
        <v>64</v>
      </c>
    </row>
    <row r="5" spans="1:31" x14ac:dyDescent="0.35">
      <c r="A5" s="16">
        <v>46116</v>
      </c>
      <c r="B5" s="9" t="s">
        <v>67</v>
      </c>
      <c r="C5" s="10">
        <v>8005</v>
      </c>
      <c r="D5" s="10">
        <v>8005</v>
      </c>
      <c r="E5" s="9">
        <v>1.7</v>
      </c>
      <c r="F5" s="10">
        <v>5411</v>
      </c>
      <c r="G5" s="9">
        <v>1134</v>
      </c>
      <c r="H5" s="9">
        <v>3.72</v>
      </c>
      <c r="I5" s="12">
        <v>3.26</v>
      </c>
      <c r="J5" s="10">
        <v>17320</v>
      </c>
      <c r="K5" s="10">
        <v>0</v>
      </c>
      <c r="L5" s="10">
        <v>2767</v>
      </c>
      <c r="M5" s="10">
        <v>10409</v>
      </c>
      <c r="N5" s="10">
        <v>2447</v>
      </c>
      <c r="O5" s="10">
        <v>1400</v>
      </c>
      <c r="P5" s="10">
        <v>381</v>
      </c>
      <c r="Q5" s="18">
        <v>398</v>
      </c>
      <c r="R5" s="10">
        <f t="shared" si="0"/>
        <v>154</v>
      </c>
      <c r="S5" s="10">
        <v>552</v>
      </c>
      <c r="T5" s="10">
        <v>21</v>
      </c>
      <c r="U5" s="10">
        <v>79</v>
      </c>
      <c r="V5" s="9">
        <v>58.5</v>
      </c>
      <c r="W5" s="10">
        <v>4.53</v>
      </c>
      <c r="X5" s="10">
        <v>328.04</v>
      </c>
      <c r="Y5" s="12">
        <v>2626</v>
      </c>
      <c r="Z5" s="9">
        <v>1</v>
      </c>
      <c r="AA5" s="9">
        <v>0.73</v>
      </c>
      <c r="AB5" s="9">
        <v>0.9</v>
      </c>
      <c r="AC5" s="9">
        <v>0.65700000000000003</v>
      </c>
      <c r="AD5" s="9" t="s">
        <v>63</v>
      </c>
      <c r="AE5" s="9" t="s">
        <v>64</v>
      </c>
    </row>
    <row r="6" spans="1:31" x14ac:dyDescent="0.35">
      <c r="A6" s="16">
        <v>46117</v>
      </c>
      <c r="B6" s="9" t="s">
        <v>67</v>
      </c>
      <c r="C6" s="10">
        <v>9350</v>
      </c>
      <c r="D6" s="10">
        <v>9350</v>
      </c>
      <c r="E6" s="9">
        <v>2</v>
      </c>
      <c r="F6" s="10">
        <v>6147</v>
      </c>
      <c r="G6" s="9">
        <v>1137</v>
      </c>
      <c r="H6" s="9">
        <v>4.22</v>
      </c>
      <c r="I6" s="12">
        <v>6.5</v>
      </c>
      <c r="J6" s="10">
        <v>31430</v>
      </c>
      <c r="K6" s="10">
        <v>0</v>
      </c>
      <c r="L6" s="10">
        <v>5061</v>
      </c>
      <c r="M6" s="10">
        <v>10275</v>
      </c>
      <c r="N6" s="10">
        <v>1878</v>
      </c>
      <c r="O6" s="10">
        <v>1765</v>
      </c>
      <c r="P6" s="10">
        <v>657</v>
      </c>
      <c r="Q6" s="18">
        <v>390</v>
      </c>
      <c r="R6" s="10">
        <f t="shared" si="0"/>
        <v>166</v>
      </c>
      <c r="S6" s="10">
        <v>556</v>
      </c>
      <c r="T6" s="10">
        <v>33</v>
      </c>
      <c r="U6" s="10">
        <v>67</v>
      </c>
      <c r="V6" s="9">
        <v>58.1</v>
      </c>
      <c r="W6" s="10">
        <v>6.34</v>
      </c>
      <c r="X6" s="10">
        <v>377.01</v>
      </c>
      <c r="Y6" s="12">
        <v>3525</v>
      </c>
      <c r="Z6" s="9">
        <v>1</v>
      </c>
      <c r="AA6" s="9">
        <v>0.85</v>
      </c>
      <c r="AB6" s="9">
        <v>0.93</v>
      </c>
      <c r="AC6" s="9">
        <v>0.79049999999999998</v>
      </c>
      <c r="AD6" s="9" t="s">
        <v>63</v>
      </c>
      <c r="AE6" s="9" t="s">
        <v>64</v>
      </c>
    </row>
    <row r="7" spans="1:31" x14ac:dyDescent="0.35">
      <c r="A7" s="16">
        <v>46118</v>
      </c>
      <c r="B7" s="9" t="s">
        <v>67</v>
      </c>
      <c r="C7" s="10">
        <v>8120</v>
      </c>
      <c r="D7" s="10">
        <v>8120</v>
      </c>
      <c r="E7" s="9">
        <v>1.8</v>
      </c>
      <c r="F7" s="10">
        <v>4224</v>
      </c>
      <c r="G7" s="9">
        <v>1084</v>
      </c>
      <c r="H7" s="9">
        <v>2.9</v>
      </c>
      <c r="I7" s="12">
        <v>6.07</v>
      </c>
      <c r="J7" s="10">
        <v>28345</v>
      </c>
      <c r="K7" s="10">
        <v>0</v>
      </c>
      <c r="L7" s="10">
        <v>5069</v>
      </c>
      <c r="M7" s="10">
        <v>8270</v>
      </c>
      <c r="N7" s="10">
        <v>2037</v>
      </c>
      <c r="O7" s="10">
        <v>1698</v>
      </c>
      <c r="P7" s="10">
        <v>497</v>
      </c>
      <c r="Q7" s="18">
        <v>358</v>
      </c>
      <c r="R7" s="10">
        <f t="shared" si="0"/>
        <v>184</v>
      </c>
      <c r="S7" s="10">
        <v>542</v>
      </c>
      <c r="T7" s="10">
        <v>38</v>
      </c>
      <c r="U7" s="10">
        <v>62</v>
      </c>
      <c r="V7" s="9">
        <v>57.66</v>
      </c>
      <c r="W7" s="10">
        <v>5.38</v>
      </c>
      <c r="X7" s="10">
        <v>372.04</v>
      </c>
      <c r="Y7" s="12">
        <v>3021</v>
      </c>
      <c r="Z7" s="9">
        <v>1</v>
      </c>
      <c r="AA7" s="9">
        <v>0.74</v>
      </c>
      <c r="AB7" s="9">
        <v>0</v>
      </c>
      <c r="AC7" s="9">
        <v>0</v>
      </c>
      <c r="AD7" s="9" t="s">
        <v>63</v>
      </c>
      <c r="AE7" s="9" t="s">
        <v>64</v>
      </c>
    </row>
    <row r="8" spans="1:31" x14ac:dyDescent="0.35">
      <c r="A8" s="16">
        <v>46119</v>
      </c>
      <c r="B8" s="9" t="s">
        <v>67</v>
      </c>
      <c r="C8" s="10">
        <v>0</v>
      </c>
      <c r="D8" s="10">
        <v>0</v>
      </c>
      <c r="E8" s="9">
        <v>0</v>
      </c>
      <c r="F8" s="10">
        <v>0</v>
      </c>
      <c r="G8" s="9">
        <v>0</v>
      </c>
      <c r="H8" s="9">
        <v>0</v>
      </c>
      <c r="I8" s="12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8">
        <v>0</v>
      </c>
      <c r="R8" s="10">
        <f t="shared" si="0"/>
        <v>0</v>
      </c>
      <c r="S8" s="10">
        <v>0</v>
      </c>
      <c r="T8" s="10">
        <v>0</v>
      </c>
      <c r="U8" s="10">
        <v>0</v>
      </c>
      <c r="V8" s="9">
        <v>0</v>
      </c>
      <c r="W8" s="10">
        <v>0</v>
      </c>
      <c r="X8" s="10">
        <v>0</v>
      </c>
      <c r="Y8" s="12">
        <v>0</v>
      </c>
      <c r="Z8" s="9">
        <v>0</v>
      </c>
      <c r="AA8" s="9">
        <v>0</v>
      </c>
      <c r="AB8" s="9">
        <v>0</v>
      </c>
      <c r="AC8" s="9">
        <v>0</v>
      </c>
      <c r="AD8" s="9" t="s">
        <v>65</v>
      </c>
      <c r="AE8" s="9" t="s">
        <v>66</v>
      </c>
    </row>
    <row r="9" spans="1:31" x14ac:dyDescent="0.35">
      <c r="A9" s="16">
        <v>46120</v>
      </c>
      <c r="B9" s="9" t="s">
        <v>67</v>
      </c>
      <c r="C9" s="10">
        <v>7010</v>
      </c>
      <c r="D9" s="10">
        <v>7010</v>
      </c>
      <c r="E9" s="9">
        <v>1.5</v>
      </c>
      <c r="F9" s="10">
        <v>5599</v>
      </c>
      <c r="G9" s="9">
        <v>1123</v>
      </c>
      <c r="H9" s="9">
        <v>3.81</v>
      </c>
      <c r="I9" s="12">
        <v>4.7</v>
      </c>
      <c r="J9" s="10">
        <v>20899</v>
      </c>
      <c r="K9" s="10">
        <v>0</v>
      </c>
      <c r="L9" s="10">
        <v>4906</v>
      </c>
      <c r="M9" s="10">
        <v>6775</v>
      </c>
      <c r="N9" s="10">
        <v>1912</v>
      </c>
      <c r="O9" s="10">
        <v>916</v>
      </c>
      <c r="P9" s="10">
        <v>346</v>
      </c>
      <c r="Q9" s="18">
        <v>450</v>
      </c>
      <c r="R9" s="10">
        <f t="shared" si="0"/>
        <v>115</v>
      </c>
      <c r="S9" s="10">
        <v>565</v>
      </c>
      <c r="T9" s="10">
        <v>42</v>
      </c>
      <c r="U9" s="10">
        <v>58</v>
      </c>
      <c r="V9" s="9">
        <v>57.53</v>
      </c>
      <c r="W9" s="10">
        <v>5.19</v>
      </c>
      <c r="X9" s="10">
        <v>361.06</v>
      </c>
      <c r="Y9" s="12">
        <v>2531</v>
      </c>
      <c r="Z9" s="9">
        <v>1</v>
      </c>
      <c r="AA9" s="9">
        <v>0.64</v>
      </c>
      <c r="AB9" s="9">
        <v>0</v>
      </c>
      <c r="AC9" s="9">
        <v>0</v>
      </c>
      <c r="AD9" s="9" t="s">
        <v>63</v>
      </c>
      <c r="AE9" s="9" t="s">
        <v>64</v>
      </c>
    </row>
    <row r="10" spans="1:31" x14ac:dyDescent="0.35">
      <c r="A10" s="16">
        <v>46121</v>
      </c>
      <c r="B10" s="9" t="s">
        <v>67</v>
      </c>
      <c r="C10" s="10">
        <v>9620</v>
      </c>
      <c r="D10" s="10">
        <v>9620</v>
      </c>
      <c r="E10" s="9">
        <v>2.1</v>
      </c>
      <c r="F10" s="10">
        <v>6210</v>
      </c>
      <c r="G10" s="9">
        <v>1105</v>
      </c>
      <c r="H10" s="9">
        <v>4.3499999999999996</v>
      </c>
      <c r="I10" s="12">
        <v>6.8</v>
      </c>
      <c r="J10" s="10">
        <v>31870</v>
      </c>
      <c r="K10" s="10">
        <v>0</v>
      </c>
      <c r="L10" s="10">
        <v>6290.1</v>
      </c>
      <c r="M10" s="10">
        <v>9435.2000000000007</v>
      </c>
      <c r="N10" s="10">
        <v>1864</v>
      </c>
      <c r="O10" s="10">
        <v>1837</v>
      </c>
      <c r="P10" s="10">
        <v>351</v>
      </c>
      <c r="Q10" s="18">
        <v>379</v>
      </c>
      <c r="R10" s="10">
        <f t="shared" si="0"/>
        <v>168</v>
      </c>
      <c r="S10" s="10">
        <v>547</v>
      </c>
      <c r="T10" s="10">
        <v>40</v>
      </c>
      <c r="U10" s="10">
        <v>60</v>
      </c>
      <c r="V10" s="9">
        <v>58.54</v>
      </c>
      <c r="W10" s="10">
        <v>6.52</v>
      </c>
      <c r="X10" s="10">
        <v>367.05</v>
      </c>
      <c r="Y10" s="12">
        <v>3531</v>
      </c>
      <c r="Z10" s="9">
        <v>1</v>
      </c>
      <c r="AA10" s="9">
        <v>0.87</v>
      </c>
      <c r="AB10" s="9">
        <v>0</v>
      </c>
      <c r="AC10" s="9">
        <v>0</v>
      </c>
      <c r="AD10" s="9" t="s">
        <v>63</v>
      </c>
      <c r="AE10" s="9" t="s">
        <v>64</v>
      </c>
    </row>
    <row r="11" spans="1:31" x14ac:dyDescent="0.35">
      <c r="A11" s="16">
        <v>46122</v>
      </c>
      <c r="B11" s="9" t="s">
        <v>67</v>
      </c>
      <c r="C11" s="10">
        <v>9830</v>
      </c>
      <c r="D11" s="10">
        <v>10110</v>
      </c>
      <c r="E11" s="9">
        <v>2.2000000000000002</v>
      </c>
      <c r="F11" s="10">
        <v>6055</v>
      </c>
      <c r="G11" s="9">
        <v>1134</v>
      </c>
      <c r="H11" s="9">
        <v>4.26</v>
      </c>
      <c r="I11" s="12">
        <v>7.1</v>
      </c>
      <c r="J11" s="10">
        <v>33888</v>
      </c>
      <c r="K11" s="10">
        <v>0</v>
      </c>
      <c r="L11" s="10">
        <v>5960.2</v>
      </c>
      <c r="M11" s="10">
        <v>10595.9</v>
      </c>
      <c r="N11" s="10">
        <v>1924</v>
      </c>
      <c r="O11" s="10">
        <v>1999</v>
      </c>
      <c r="P11" s="10">
        <v>579</v>
      </c>
      <c r="Q11" s="18">
        <v>368</v>
      </c>
      <c r="R11" s="10">
        <f t="shared" si="0"/>
        <v>174</v>
      </c>
      <c r="S11" s="10">
        <v>542</v>
      </c>
      <c r="T11" s="10">
        <v>36</v>
      </c>
      <c r="U11" s="10">
        <v>64</v>
      </c>
      <c r="V11" s="9">
        <v>58.86</v>
      </c>
      <c r="W11" s="10">
        <v>6.6</v>
      </c>
      <c r="X11" s="10">
        <v>345</v>
      </c>
      <c r="Y11" s="12">
        <v>3488</v>
      </c>
      <c r="Z11" s="9">
        <v>1</v>
      </c>
      <c r="AA11" s="9">
        <v>0.92</v>
      </c>
      <c r="AB11" s="9">
        <v>0</v>
      </c>
      <c r="AC11" s="9">
        <v>0</v>
      </c>
      <c r="AD11" s="9" t="s">
        <v>63</v>
      </c>
      <c r="AE11" s="9" t="s">
        <v>64</v>
      </c>
    </row>
    <row r="12" spans="1:31" x14ac:dyDescent="0.35">
      <c r="A12" s="16">
        <v>46123</v>
      </c>
      <c r="B12" s="9" t="s">
        <v>67</v>
      </c>
      <c r="C12" s="10">
        <v>9250</v>
      </c>
      <c r="D12" s="10">
        <v>9250</v>
      </c>
      <c r="E12" s="9">
        <v>2</v>
      </c>
      <c r="F12" s="10">
        <v>5574</v>
      </c>
      <c r="G12" s="9">
        <v>1145</v>
      </c>
      <c r="H12" s="9">
        <v>4.17</v>
      </c>
      <c r="I12" s="12">
        <v>7.2</v>
      </c>
      <c r="J12" s="10">
        <v>34685</v>
      </c>
      <c r="K12" s="10">
        <v>0</v>
      </c>
      <c r="L12" s="10">
        <v>4976.3999999999996</v>
      </c>
      <c r="M12" s="10">
        <v>10103.700000000001</v>
      </c>
      <c r="N12" s="10">
        <v>1886</v>
      </c>
      <c r="O12" s="10">
        <v>1840</v>
      </c>
      <c r="P12" s="10">
        <v>397</v>
      </c>
      <c r="Q12" s="18">
        <v>387</v>
      </c>
      <c r="R12" s="10">
        <f t="shared" si="0"/>
        <v>175</v>
      </c>
      <c r="S12" s="10">
        <v>562</v>
      </c>
      <c r="T12" s="10">
        <v>33</v>
      </c>
      <c r="U12" s="10">
        <v>67</v>
      </c>
      <c r="V12" s="9">
        <v>59.06</v>
      </c>
      <c r="W12" s="10">
        <v>6.1</v>
      </c>
      <c r="X12" s="10">
        <v>342.05</v>
      </c>
      <c r="Y12" s="12">
        <v>3164</v>
      </c>
      <c r="Z12" s="9">
        <v>1</v>
      </c>
      <c r="AA12" s="9">
        <v>0.84</v>
      </c>
      <c r="AB12" s="9">
        <v>0</v>
      </c>
      <c r="AC12" s="9">
        <v>0</v>
      </c>
      <c r="AD12" s="9" t="s">
        <v>63</v>
      </c>
      <c r="AE12" s="9" t="s">
        <v>64</v>
      </c>
    </row>
    <row r="13" spans="1:31" x14ac:dyDescent="0.35">
      <c r="A13" s="16">
        <v>46124</v>
      </c>
      <c r="B13" s="9" t="s">
        <v>67</v>
      </c>
      <c r="C13" s="10">
        <v>7520</v>
      </c>
      <c r="D13" s="10">
        <v>7520</v>
      </c>
      <c r="E13" s="9">
        <v>1.6</v>
      </c>
      <c r="F13" s="10">
        <v>5530</v>
      </c>
      <c r="G13" s="9">
        <v>1123</v>
      </c>
      <c r="H13" s="9">
        <v>4.01</v>
      </c>
      <c r="I13" s="12">
        <v>7.02</v>
      </c>
      <c r="J13" s="10">
        <v>24967</v>
      </c>
      <c r="K13" s="10">
        <v>0</v>
      </c>
      <c r="L13" s="10">
        <v>5032.1000000000004</v>
      </c>
      <c r="M13" s="10">
        <v>7548.1</v>
      </c>
      <c r="N13" s="10">
        <v>2221</v>
      </c>
      <c r="O13" s="10">
        <v>1435</v>
      </c>
      <c r="P13" s="10">
        <v>420</v>
      </c>
      <c r="Q13" s="18">
        <v>396</v>
      </c>
      <c r="R13" s="10">
        <f t="shared" si="0"/>
        <v>168</v>
      </c>
      <c r="S13" s="10">
        <v>564</v>
      </c>
      <c r="T13" s="10">
        <v>40</v>
      </c>
      <c r="U13" s="10">
        <v>60</v>
      </c>
      <c r="V13" s="9">
        <v>58.45</v>
      </c>
      <c r="W13" s="10">
        <v>4.7300000000000004</v>
      </c>
      <c r="X13" s="10">
        <v>342.02</v>
      </c>
      <c r="Y13" s="12">
        <v>2572</v>
      </c>
      <c r="Z13" s="9">
        <v>1</v>
      </c>
      <c r="AA13" s="9">
        <v>0.68</v>
      </c>
      <c r="AB13" s="9">
        <v>0</v>
      </c>
      <c r="AC13" s="9">
        <v>0</v>
      </c>
      <c r="AD13" s="9" t="s">
        <v>63</v>
      </c>
      <c r="AE13" s="9" t="s">
        <v>64</v>
      </c>
    </row>
    <row r="14" spans="1:31" x14ac:dyDescent="0.35">
      <c r="A14" s="16">
        <v>46125</v>
      </c>
      <c r="B14" s="9" t="s">
        <v>67</v>
      </c>
      <c r="C14" s="10">
        <v>9710</v>
      </c>
      <c r="D14" s="10">
        <v>9710</v>
      </c>
      <c r="E14" s="9">
        <v>2.1</v>
      </c>
      <c r="F14" s="10">
        <v>5904</v>
      </c>
      <c r="G14" s="9">
        <v>1131</v>
      </c>
      <c r="H14" s="9">
        <v>4.29</v>
      </c>
      <c r="I14" s="12">
        <v>6.89</v>
      </c>
      <c r="J14" s="10">
        <v>35808</v>
      </c>
      <c r="K14" s="10">
        <v>0</v>
      </c>
      <c r="L14" s="10">
        <v>5786</v>
      </c>
      <c r="M14" s="10">
        <v>10285</v>
      </c>
      <c r="N14" s="10">
        <v>2158</v>
      </c>
      <c r="O14" s="10">
        <v>1854</v>
      </c>
      <c r="P14" s="10">
        <v>523</v>
      </c>
      <c r="Q14" s="18">
        <v>381</v>
      </c>
      <c r="R14" s="10">
        <f t="shared" si="0"/>
        <v>168</v>
      </c>
      <c r="S14" s="10">
        <v>549</v>
      </c>
      <c r="T14" s="10">
        <v>36</v>
      </c>
      <c r="U14" s="10">
        <v>64</v>
      </c>
      <c r="V14" s="9">
        <v>58.25</v>
      </c>
      <c r="W14" s="10">
        <v>5.96</v>
      </c>
      <c r="X14" s="10">
        <v>354.99</v>
      </c>
      <c r="Y14" s="12">
        <v>3447</v>
      </c>
      <c r="Z14" s="9">
        <v>1</v>
      </c>
      <c r="AA14" s="9">
        <v>0.88</v>
      </c>
      <c r="AB14" s="9">
        <v>1</v>
      </c>
      <c r="AC14" s="9">
        <v>0.88</v>
      </c>
      <c r="AD14" s="9" t="s">
        <v>63</v>
      </c>
      <c r="AE14" s="9" t="s">
        <v>64</v>
      </c>
    </row>
    <row r="15" spans="1:31" x14ac:dyDescent="0.35">
      <c r="A15" s="16">
        <v>46126</v>
      </c>
      <c r="B15" s="9" t="s">
        <v>67</v>
      </c>
      <c r="C15" s="10">
        <v>10110</v>
      </c>
      <c r="D15" s="10">
        <v>10110</v>
      </c>
      <c r="E15" s="9">
        <v>2.2000000000000002</v>
      </c>
      <c r="F15" s="10">
        <v>5885</v>
      </c>
      <c r="G15" s="9">
        <v>1128</v>
      </c>
      <c r="H15" s="9">
        <v>4.28</v>
      </c>
      <c r="I15" s="12">
        <v>6.69</v>
      </c>
      <c r="J15" s="10">
        <v>36796</v>
      </c>
      <c r="K15" s="10">
        <v>0</v>
      </c>
      <c r="L15" s="10">
        <v>5313</v>
      </c>
      <c r="M15" s="10">
        <v>11290</v>
      </c>
      <c r="N15" s="10">
        <v>2191</v>
      </c>
      <c r="O15" s="10">
        <v>2020</v>
      </c>
      <c r="P15" s="10">
        <v>488</v>
      </c>
      <c r="Q15" s="18">
        <v>378</v>
      </c>
      <c r="R15" s="10">
        <f t="shared" si="0"/>
        <v>176</v>
      </c>
      <c r="S15" s="10">
        <v>554</v>
      </c>
      <c r="T15" s="10">
        <v>32</v>
      </c>
      <c r="U15" s="10">
        <v>68</v>
      </c>
      <c r="V15" s="9">
        <v>58.43</v>
      </c>
      <c r="W15" s="10">
        <v>6.02</v>
      </c>
      <c r="X15" s="10">
        <v>329.97</v>
      </c>
      <c r="Y15" s="12">
        <v>3336</v>
      </c>
      <c r="Z15" s="9">
        <v>1</v>
      </c>
      <c r="AA15" s="9">
        <v>0.92</v>
      </c>
      <c r="AB15" s="9">
        <v>0.71</v>
      </c>
      <c r="AC15" s="9">
        <v>0.6532</v>
      </c>
      <c r="AD15" s="9" t="s">
        <v>63</v>
      </c>
      <c r="AE15" s="9" t="s">
        <v>64</v>
      </c>
    </row>
    <row r="16" spans="1:31" x14ac:dyDescent="0.35">
      <c r="A16" s="16">
        <v>46127</v>
      </c>
      <c r="B16" s="9" t="s">
        <v>67</v>
      </c>
      <c r="C16" s="10">
        <v>10010</v>
      </c>
      <c r="D16" s="10">
        <v>10010</v>
      </c>
      <c r="E16" s="9">
        <v>2.2000000000000002</v>
      </c>
      <c r="F16" s="10">
        <v>5867</v>
      </c>
      <c r="G16" s="9">
        <v>1120</v>
      </c>
      <c r="H16" s="9">
        <v>4.3099999999999996</v>
      </c>
      <c r="I16" s="12">
        <v>7.59</v>
      </c>
      <c r="J16" s="10">
        <v>37136</v>
      </c>
      <c r="K16" s="10">
        <v>0</v>
      </c>
      <c r="L16" s="10">
        <v>5228</v>
      </c>
      <c r="M16" s="10">
        <v>11109</v>
      </c>
      <c r="N16" s="10">
        <v>2070</v>
      </c>
      <c r="O16" s="10">
        <v>1902</v>
      </c>
      <c r="P16" s="10">
        <v>553</v>
      </c>
      <c r="Q16" s="18">
        <v>383</v>
      </c>
      <c r="R16" s="10">
        <f t="shared" si="0"/>
        <v>167</v>
      </c>
      <c r="S16" s="10">
        <v>550</v>
      </c>
      <c r="T16" s="10">
        <v>32</v>
      </c>
      <c r="U16" s="10">
        <v>68</v>
      </c>
      <c r="V16" s="9">
        <v>58.87</v>
      </c>
      <c r="W16" s="10">
        <v>6.19</v>
      </c>
      <c r="X16" s="10">
        <v>344.96</v>
      </c>
      <c r="Y16" s="12">
        <v>3453</v>
      </c>
      <c r="Z16" s="9">
        <v>1</v>
      </c>
      <c r="AA16" s="9">
        <v>0.91</v>
      </c>
      <c r="AB16" s="9">
        <v>0.59</v>
      </c>
      <c r="AC16" s="9">
        <v>0.53690000000000004</v>
      </c>
      <c r="AD16" s="9" t="s">
        <v>63</v>
      </c>
      <c r="AE16" s="9" t="s">
        <v>64</v>
      </c>
    </row>
    <row r="17" spans="1:31" x14ac:dyDescent="0.35">
      <c r="A17" s="16">
        <v>46128</v>
      </c>
      <c r="B17" s="9" t="s">
        <v>67</v>
      </c>
      <c r="C17" s="10">
        <v>9510</v>
      </c>
      <c r="D17" s="10">
        <v>9510</v>
      </c>
      <c r="E17" s="9">
        <v>2.1</v>
      </c>
      <c r="F17" s="10">
        <v>5724</v>
      </c>
      <c r="G17" s="9">
        <v>1123</v>
      </c>
      <c r="H17" s="9">
        <v>4.28</v>
      </c>
      <c r="I17" s="12">
        <v>6.18</v>
      </c>
      <c r="J17" s="10">
        <v>34750</v>
      </c>
      <c r="K17" s="10">
        <v>0</v>
      </c>
      <c r="L17" s="10">
        <v>5617</v>
      </c>
      <c r="M17" s="10">
        <v>9985</v>
      </c>
      <c r="N17" s="10">
        <v>1828</v>
      </c>
      <c r="O17" s="10">
        <v>1817</v>
      </c>
      <c r="P17" s="10">
        <v>478</v>
      </c>
      <c r="Q17" s="18">
        <v>378</v>
      </c>
      <c r="R17" s="10">
        <f t="shared" si="0"/>
        <v>168</v>
      </c>
      <c r="S17" s="10">
        <v>546</v>
      </c>
      <c r="T17" s="10">
        <v>36</v>
      </c>
      <c r="U17" s="10">
        <v>64</v>
      </c>
      <c r="V17" s="9">
        <v>58.3</v>
      </c>
      <c r="W17" s="10">
        <v>6.61</v>
      </c>
      <c r="X17" s="10">
        <v>354.99</v>
      </c>
      <c r="Y17" s="12">
        <v>3376</v>
      </c>
      <c r="Z17" s="9">
        <v>1</v>
      </c>
      <c r="AA17" s="9">
        <v>0.86</v>
      </c>
      <c r="AB17" s="9">
        <v>0.62</v>
      </c>
      <c r="AC17" s="9">
        <v>0.53320000000000001</v>
      </c>
      <c r="AD17" s="9" t="s">
        <v>63</v>
      </c>
      <c r="AE17" s="9" t="s">
        <v>64</v>
      </c>
    </row>
    <row r="18" spans="1:31" x14ac:dyDescent="0.35">
      <c r="A18" s="16">
        <v>46129</v>
      </c>
      <c r="B18" s="9" t="s">
        <v>67</v>
      </c>
      <c r="C18" s="10">
        <v>9110</v>
      </c>
      <c r="D18" s="10">
        <v>9110</v>
      </c>
      <c r="E18" s="9">
        <v>2</v>
      </c>
      <c r="F18" s="10">
        <v>5744</v>
      </c>
      <c r="G18" s="9">
        <v>1095</v>
      </c>
      <c r="H18" s="9">
        <v>4.28</v>
      </c>
      <c r="I18" s="12">
        <v>6.56</v>
      </c>
      <c r="J18" s="10">
        <v>34682</v>
      </c>
      <c r="K18" s="10">
        <v>0</v>
      </c>
      <c r="L18" s="10">
        <v>5464</v>
      </c>
      <c r="M18" s="10">
        <v>9715</v>
      </c>
      <c r="N18" s="10">
        <v>2057</v>
      </c>
      <c r="O18" s="10">
        <v>1749</v>
      </c>
      <c r="P18" s="10">
        <v>529</v>
      </c>
      <c r="Q18" s="18">
        <v>382</v>
      </c>
      <c r="R18" s="10">
        <f t="shared" si="0"/>
        <v>169</v>
      </c>
      <c r="S18" s="10">
        <v>551</v>
      </c>
      <c r="T18" s="10">
        <v>36</v>
      </c>
      <c r="U18" s="10">
        <v>64</v>
      </c>
      <c r="V18" s="9">
        <v>57.93</v>
      </c>
      <c r="W18" s="10">
        <v>5.91</v>
      </c>
      <c r="X18" s="10">
        <v>355.98</v>
      </c>
      <c r="Y18" s="12">
        <v>3243</v>
      </c>
      <c r="Z18" s="9">
        <v>1</v>
      </c>
      <c r="AA18" s="9">
        <v>0.83</v>
      </c>
      <c r="AB18" s="9">
        <v>0.76</v>
      </c>
      <c r="AC18" s="9">
        <v>0.63080000000000003</v>
      </c>
      <c r="AD18" s="9" t="s">
        <v>63</v>
      </c>
      <c r="AE18" s="9" t="s">
        <v>64</v>
      </c>
    </row>
    <row r="19" spans="1:31" x14ac:dyDescent="0.35">
      <c r="A19" s="16">
        <v>46130</v>
      </c>
      <c r="B19" s="9" t="s">
        <v>67</v>
      </c>
      <c r="C19" s="10">
        <v>9850</v>
      </c>
      <c r="D19" s="10">
        <v>9850</v>
      </c>
      <c r="E19" s="9">
        <v>2.1</v>
      </c>
      <c r="F19" s="10">
        <v>6011</v>
      </c>
      <c r="G19" s="9">
        <v>1097</v>
      </c>
      <c r="H19" s="9">
        <v>4.3</v>
      </c>
      <c r="I19" s="12">
        <v>6.8</v>
      </c>
      <c r="J19" s="10">
        <v>39598</v>
      </c>
      <c r="K19" s="10">
        <v>0</v>
      </c>
      <c r="L19" s="10">
        <v>5893</v>
      </c>
      <c r="M19" s="10">
        <v>10477</v>
      </c>
      <c r="N19" s="10">
        <v>1845</v>
      </c>
      <c r="O19" s="10">
        <v>2023</v>
      </c>
      <c r="P19" s="10">
        <v>553</v>
      </c>
      <c r="Q19" s="18">
        <v>374</v>
      </c>
      <c r="R19" s="10">
        <f t="shared" si="0"/>
        <v>181</v>
      </c>
      <c r="S19" s="10">
        <v>555</v>
      </c>
      <c r="T19" s="10">
        <v>36</v>
      </c>
      <c r="U19" s="10">
        <v>64</v>
      </c>
      <c r="V19" s="9">
        <v>57.83</v>
      </c>
      <c r="W19" s="10">
        <v>6.86</v>
      </c>
      <c r="X19" s="10">
        <v>364.97</v>
      </c>
      <c r="Y19" s="12">
        <v>3595</v>
      </c>
      <c r="Z19" s="9">
        <v>1</v>
      </c>
      <c r="AA19" s="9">
        <v>0.9</v>
      </c>
      <c r="AB19" s="9">
        <v>0.82</v>
      </c>
      <c r="AC19" s="9">
        <v>0.73799999999999999</v>
      </c>
      <c r="AD19" s="9" t="s">
        <v>63</v>
      </c>
      <c r="AE19" s="9" t="s">
        <v>64</v>
      </c>
    </row>
    <row r="20" spans="1:31" x14ac:dyDescent="0.35">
      <c r="A20" s="16">
        <v>46131</v>
      </c>
      <c r="B20" s="9" t="s">
        <v>67</v>
      </c>
      <c r="C20" s="10">
        <v>9050</v>
      </c>
      <c r="D20" s="10">
        <v>9050</v>
      </c>
      <c r="E20" s="9">
        <v>2</v>
      </c>
      <c r="F20" s="10">
        <v>5751</v>
      </c>
      <c r="G20" s="9">
        <v>1109</v>
      </c>
      <c r="H20" s="9">
        <v>4.09</v>
      </c>
      <c r="I20" s="12">
        <v>7.71</v>
      </c>
      <c r="J20" s="10">
        <v>36279</v>
      </c>
      <c r="K20" s="10">
        <v>0</v>
      </c>
      <c r="L20" s="10">
        <v>5110</v>
      </c>
      <c r="M20" s="10">
        <v>9921</v>
      </c>
      <c r="N20" s="10">
        <v>2151</v>
      </c>
      <c r="O20" s="10">
        <v>1788</v>
      </c>
      <c r="P20" s="10">
        <v>704</v>
      </c>
      <c r="Q20" s="18">
        <v>382</v>
      </c>
      <c r="R20" s="10">
        <f t="shared" si="0"/>
        <v>174</v>
      </c>
      <c r="S20" s="10">
        <v>556</v>
      </c>
      <c r="T20" s="10">
        <v>34</v>
      </c>
      <c r="U20" s="10">
        <v>66</v>
      </c>
      <c r="V20" s="9">
        <v>58.3</v>
      </c>
      <c r="W20" s="10">
        <v>5.67</v>
      </c>
      <c r="X20" s="10">
        <v>376.02</v>
      </c>
      <c r="Y20" s="12">
        <v>3403</v>
      </c>
      <c r="Z20" s="9">
        <v>1</v>
      </c>
      <c r="AA20" s="9">
        <v>0.82</v>
      </c>
      <c r="AB20" s="9">
        <v>0.78</v>
      </c>
      <c r="AC20" s="9">
        <v>0.63959999999999995</v>
      </c>
      <c r="AD20" s="9" t="s">
        <v>63</v>
      </c>
      <c r="AE20" s="9" t="s">
        <v>64</v>
      </c>
    </row>
    <row r="21" spans="1:31" x14ac:dyDescent="0.35">
      <c r="A21" s="16">
        <v>46132</v>
      </c>
      <c r="B21" s="9" t="s">
        <v>67</v>
      </c>
      <c r="C21" s="10">
        <v>10250</v>
      </c>
      <c r="D21" s="10">
        <v>10250</v>
      </c>
      <c r="E21" s="9">
        <v>2.2000000000000002</v>
      </c>
      <c r="F21" s="10">
        <v>6019</v>
      </c>
      <c r="G21" s="9">
        <v>1117</v>
      </c>
      <c r="H21" s="9">
        <v>4.3099999999999996</v>
      </c>
      <c r="I21" s="12">
        <v>7.95</v>
      </c>
      <c r="J21" s="10">
        <v>39307</v>
      </c>
      <c r="K21" s="10">
        <v>0</v>
      </c>
      <c r="L21" s="10">
        <v>6062</v>
      </c>
      <c r="M21" s="10">
        <v>10778</v>
      </c>
      <c r="N21" s="10">
        <v>1968</v>
      </c>
      <c r="O21" s="10">
        <v>2157</v>
      </c>
      <c r="P21" s="10">
        <v>541</v>
      </c>
      <c r="Q21" s="18">
        <v>360</v>
      </c>
      <c r="R21" s="10">
        <f t="shared" si="0"/>
        <v>185</v>
      </c>
      <c r="S21" s="10">
        <v>545</v>
      </c>
      <c r="T21" s="10">
        <v>36</v>
      </c>
      <c r="U21" s="10">
        <v>64</v>
      </c>
      <c r="V21" s="9">
        <v>58.47</v>
      </c>
      <c r="W21" s="10">
        <v>6.72</v>
      </c>
      <c r="X21" s="10">
        <v>370.05</v>
      </c>
      <c r="Y21" s="12">
        <v>3793</v>
      </c>
      <c r="Z21" s="9">
        <v>1</v>
      </c>
      <c r="AA21" s="9">
        <v>0.93</v>
      </c>
      <c r="AB21" s="9">
        <v>0.71</v>
      </c>
      <c r="AC21" s="9">
        <v>0.6603</v>
      </c>
      <c r="AD21" s="9" t="s">
        <v>63</v>
      </c>
      <c r="AE21" s="9" t="s">
        <v>64</v>
      </c>
    </row>
    <row r="22" spans="1:31" x14ac:dyDescent="0.35">
      <c r="A22" s="16">
        <v>46133</v>
      </c>
      <c r="B22" s="9" t="s">
        <v>67</v>
      </c>
      <c r="C22" s="10">
        <v>9960</v>
      </c>
      <c r="D22" s="10">
        <v>10240</v>
      </c>
      <c r="E22" s="9">
        <v>2.2000000000000002</v>
      </c>
      <c r="F22" s="10">
        <v>5950</v>
      </c>
      <c r="G22" s="9">
        <v>1108</v>
      </c>
      <c r="H22" s="9">
        <v>4.3499999999999996</v>
      </c>
      <c r="I22" s="12">
        <v>7.8</v>
      </c>
      <c r="J22" s="10">
        <v>40825</v>
      </c>
      <c r="K22" s="10">
        <v>0</v>
      </c>
      <c r="L22" s="10">
        <v>6090</v>
      </c>
      <c r="M22" s="10">
        <v>10827</v>
      </c>
      <c r="N22" s="10">
        <v>1875</v>
      </c>
      <c r="O22" s="10">
        <v>2118</v>
      </c>
      <c r="P22" s="10">
        <v>417</v>
      </c>
      <c r="Q22" s="18">
        <v>362</v>
      </c>
      <c r="R22" s="10">
        <f t="shared" si="0"/>
        <v>182</v>
      </c>
      <c r="S22" s="10">
        <v>544</v>
      </c>
      <c r="T22" s="10">
        <v>36</v>
      </c>
      <c r="U22" s="10">
        <v>64</v>
      </c>
      <c r="V22" s="9">
        <v>58.74</v>
      </c>
      <c r="W22" s="10">
        <v>6.96</v>
      </c>
      <c r="X22" s="10">
        <v>359.96</v>
      </c>
      <c r="Y22" s="12">
        <v>3686</v>
      </c>
      <c r="Z22" s="9">
        <v>1</v>
      </c>
      <c r="AA22" s="9">
        <v>0.93</v>
      </c>
      <c r="AB22" s="9">
        <v>0.84</v>
      </c>
      <c r="AC22" s="9">
        <v>0.78120000000000001</v>
      </c>
      <c r="AD22" s="9" t="s">
        <v>63</v>
      </c>
      <c r="AE22" s="9" t="s">
        <v>64</v>
      </c>
    </row>
    <row r="23" spans="1:31" x14ac:dyDescent="0.35">
      <c r="A23" s="16">
        <v>46134</v>
      </c>
      <c r="B23" s="9" t="s">
        <v>67</v>
      </c>
      <c r="C23" s="10">
        <v>10510</v>
      </c>
      <c r="D23" s="10">
        <v>10510</v>
      </c>
      <c r="E23" s="9">
        <v>2.2999999999999998</v>
      </c>
      <c r="F23" s="10">
        <v>5988</v>
      </c>
      <c r="G23" s="9">
        <v>1099</v>
      </c>
      <c r="H23" s="9">
        <v>4.3499999999999996</v>
      </c>
      <c r="I23" s="12">
        <v>8.9</v>
      </c>
      <c r="J23" s="10">
        <v>41701</v>
      </c>
      <c r="K23" s="10">
        <v>0</v>
      </c>
      <c r="L23" s="10">
        <v>6076.1</v>
      </c>
      <c r="M23" s="10">
        <v>11284.3</v>
      </c>
      <c r="N23" s="10">
        <v>1818</v>
      </c>
      <c r="O23" s="10">
        <v>2054</v>
      </c>
      <c r="P23" s="10">
        <v>252</v>
      </c>
      <c r="Q23" s="18">
        <v>367</v>
      </c>
      <c r="R23" s="10">
        <f t="shared" si="0"/>
        <v>172</v>
      </c>
      <c r="S23" s="10">
        <v>539</v>
      </c>
      <c r="T23" s="10">
        <v>35</v>
      </c>
      <c r="U23" s="10">
        <v>65</v>
      </c>
      <c r="V23" s="9">
        <v>58.86</v>
      </c>
      <c r="W23" s="10">
        <v>8.1300000000000008</v>
      </c>
      <c r="X23" s="10">
        <v>339.96</v>
      </c>
      <c r="Y23" s="12">
        <v>3573</v>
      </c>
      <c r="Z23" s="9">
        <v>1</v>
      </c>
      <c r="AA23" s="9">
        <v>0.96</v>
      </c>
      <c r="AB23" s="9">
        <v>0.97</v>
      </c>
      <c r="AC23" s="9">
        <v>0.93120000000000003</v>
      </c>
      <c r="AD23" s="9" t="s">
        <v>63</v>
      </c>
      <c r="AE23" s="9" t="s">
        <v>64</v>
      </c>
    </row>
    <row r="24" spans="1:31" x14ac:dyDescent="0.35">
      <c r="A24" s="16">
        <v>46135</v>
      </c>
      <c r="B24" s="9" t="s">
        <v>67</v>
      </c>
      <c r="C24" s="10">
        <v>10650</v>
      </c>
      <c r="D24" s="10">
        <v>10650</v>
      </c>
      <c r="E24" s="9">
        <v>2.2999999999999998</v>
      </c>
      <c r="F24" s="10">
        <v>5981</v>
      </c>
      <c r="G24" s="9">
        <v>1095</v>
      </c>
      <c r="H24" s="9">
        <v>4</v>
      </c>
      <c r="I24" s="12">
        <v>8.1</v>
      </c>
      <c r="J24" s="10">
        <v>42046</v>
      </c>
      <c r="K24" s="10">
        <v>0</v>
      </c>
      <c r="L24" s="10">
        <v>6249.9</v>
      </c>
      <c r="M24" s="10">
        <v>11607</v>
      </c>
      <c r="N24" s="10">
        <v>1951</v>
      </c>
      <c r="O24" s="10">
        <v>2172</v>
      </c>
      <c r="P24" s="10">
        <v>277</v>
      </c>
      <c r="Q24" s="18">
        <v>362</v>
      </c>
      <c r="R24" s="10">
        <f t="shared" si="0"/>
        <v>179</v>
      </c>
      <c r="S24" s="10">
        <v>541</v>
      </c>
      <c r="T24" s="10">
        <v>35</v>
      </c>
      <c r="U24" s="10">
        <v>65</v>
      </c>
      <c r="V24" s="9">
        <v>57.72</v>
      </c>
      <c r="W24" s="10">
        <v>8.6</v>
      </c>
      <c r="X24" s="10">
        <v>340</v>
      </c>
      <c r="Y24" s="12">
        <v>3621</v>
      </c>
      <c r="Z24" s="9">
        <v>1</v>
      </c>
      <c r="AA24" s="9">
        <v>0.97</v>
      </c>
      <c r="AB24" s="9">
        <v>0.84</v>
      </c>
      <c r="AC24" s="9">
        <v>0.81479999999999997</v>
      </c>
      <c r="AD24" s="9" t="s">
        <v>63</v>
      </c>
      <c r="AE24" s="9" t="s">
        <v>64</v>
      </c>
    </row>
    <row r="25" spans="1:31" x14ac:dyDescent="0.35">
      <c r="A25" s="16">
        <v>46136</v>
      </c>
      <c r="B25" s="9" t="s">
        <v>67</v>
      </c>
      <c r="C25" s="10">
        <v>10710</v>
      </c>
      <c r="D25" s="10">
        <v>10710</v>
      </c>
      <c r="E25" s="9">
        <v>2.2999999999999998</v>
      </c>
      <c r="F25" s="10">
        <v>6066</v>
      </c>
      <c r="G25" s="9">
        <v>1122</v>
      </c>
      <c r="H25" s="9">
        <v>4.3499999999999996</v>
      </c>
      <c r="I25" s="12">
        <v>7</v>
      </c>
      <c r="J25" s="10">
        <v>42842</v>
      </c>
      <c r="K25" s="10">
        <v>0</v>
      </c>
      <c r="L25" s="10">
        <v>6076</v>
      </c>
      <c r="M25" s="10">
        <v>11285</v>
      </c>
      <c r="N25" s="10">
        <v>2033</v>
      </c>
      <c r="O25" s="10">
        <v>2178</v>
      </c>
      <c r="P25" s="10">
        <v>349</v>
      </c>
      <c r="Q25" s="18">
        <v>364</v>
      </c>
      <c r="R25" s="10">
        <f t="shared" si="0"/>
        <v>179</v>
      </c>
      <c r="S25" s="10">
        <v>543</v>
      </c>
      <c r="T25" s="10">
        <v>35</v>
      </c>
      <c r="U25" s="10">
        <v>65</v>
      </c>
      <c r="V25" s="9">
        <v>59.22</v>
      </c>
      <c r="W25" s="10">
        <v>7.24</v>
      </c>
      <c r="X25" s="10">
        <v>347.99</v>
      </c>
      <c r="Y25" s="12">
        <v>3727</v>
      </c>
      <c r="Z25" s="9">
        <v>1</v>
      </c>
      <c r="AA25" s="9">
        <v>0.97</v>
      </c>
      <c r="AB25" s="9">
        <v>0.85</v>
      </c>
      <c r="AC25" s="9">
        <v>0.82450000000000001</v>
      </c>
      <c r="AD25" s="9" t="s">
        <v>63</v>
      </c>
      <c r="AE25" s="9" t="s">
        <v>64</v>
      </c>
    </row>
    <row r="26" spans="1:31" x14ac:dyDescent="0.35">
      <c r="A26" s="16">
        <v>46137</v>
      </c>
      <c r="B26" s="9" t="s">
        <v>67</v>
      </c>
      <c r="C26" s="10">
        <v>9212</v>
      </c>
      <c r="D26" s="10">
        <v>9212</v>
      </c>
      <c r="E26" s="9">
        <v>2</v>
      </c>
      <c r="F26" s="10">
        <v>5816</v>
      </c>
      <c r="G26" s="9">
        <v>1099</v>
      </c>
      <c r="H26" s="9">
        <v>4.2699999999999996</v>
      </c>
      <c r="I26" s="12">
        <v>9.27</v>
      </c>
      <c r="J26" s="10">
        <v>35379</v>
      </c>
      <c r="K26" s="10">
        <v>0</v>
      </c>
      <c r="L26" s="10">
        <v>5318</v>
      </c>
      <c r="M26" s="10">
        <v>9876</v>
      </c>
      <c r="N26" s="10">
        <v>1896</v>
      </c>
      <c r="O26" s="10">
        <v>1758</v>
      </c>
      <c r="P26" s="10">
        <v>360</v>
      </c>
      <c r="Q26" s="18">
        <v>378</v>
      </c>
      <c r="R26" s="10">
        <f t="shared" si="0"/>
        <v>168</v>
      </c>
      <c r="S26" s="10">
        <v>546</v>
      </c>
      <c r="T26" s="10">
        <v>35</v>
      </c>
      <c r="U26" s="10">
        <v>65</v>
      </c>
      <c r="V26" s="9">
        <v>59.01</v>
      </c>
      <c r="W26" s="10">
        <v>6.25</v>
      </c>
      <c r="X26" s="10">
        <v>349.98</v>
      </c>
      <c r="Y26" s="12">
        <v>3224</v>
      </c>
      <c r="Z26" s="9">
        <v>1</v>
      </c>
      <c r="AA26" s="9">
        <v>0.84</v>
      </c>
      <c r="AB26" s="9">
        <v>0.93</v>
      </c>
      <c r="AC26" s="9">
        <v>0.78120000000000001</v>
      </c>
      <c r="AD26" s="9" t="s">
        <v>63</v>
      </c>
      <c r="AE26" s="9" t="s">
        <v>64</v>
      </c>
    </row>
    <row r="27" spans="1:31" x14ac:dyDescent="0.35">
      <c r="A27" s="16">
        <v>46138</v>
      </c>
      <c r="B27" s="9" t="s">
        <v>67</v>
      </c>
      <c r="C27" s="10">
        <v>9220</v>
      </c>
      <c r="D27" s="10">
        <v>9220</v>
      </c>
      <c r="E27" s="9">
        <v>2</v>
      </c>
      <c r="F27" s="10">
        <v>5810</v>
      </c>
      <c r="G27" s="9">
        <v>1098</v>
      </c>
      <c r="H27" s="9">
        <v>4.34</v>
      </c>
      <c r="I27" s="12">
        <v>9.93</v>
      </c>
      <c r="J27" s="10">
        <v>38172</v>
      </c>
      <c r="K27" s="10">
        <v>0</v>
      </c>
      <c r="L27" s="10">
        <v>5909</v>
      </c>
      <c r="M27" s="10">
        <v>9242</v>
      </c>
      <c r="N27" s="10">
        <v>2060</v>
      </c>
      <c r="O27" s="10">
        <v>1749</v>
      </c>
      <c r="P27" s="10">
        <v>336</v>
      </c>
      <c r="Q27" s="18">
        <v>378</v>
      </c>
      <c r="R27" s="10">
        <f t="shared" si="0"/>
        <v>167</v>
      </c>
      <c r="S27" s="10">
        <v>545</v>
      </c>
      <c r="T27" s="10">
        <v>39</v>
      </c>
      <c r="U27" s="10">
        <v>61</v>
      </c>
      <c r="V27" s="9">
        <v>58.62</v>
      </c>
      <c r="W27" s="10">
        <v>5.92</v>
      </c>
      <c r="X27" s="10">
        <v>358.03</v>
      </c>
      <c r="Y27" s="12">
        <v>3301</v>
      </c>
      <c r="Z27" s="9">
        <v>1</v>
      </c>
      <c r="AA27" s="9">
        <v>0.84</v>
      </c>
      <c r="AB27" s="9">
        <v>0.94</v>
      </c>
      <c r="AC27" s="9">
        <v>0.78959999999999997</v>
      </c>
      <c r="AD27" s="9" t="s">
        <v>63</v>
      </c>
      <c r="AE27" s="9" t="s">
        <v>64</v>
      </c>
    </row>
    <row r="28" spans="1:31" x14ac:dyDescent="0.35">
      <c r="A28" s="16">
        <v>46139</v>
      </c>
      <c r="B28" s="9" t="s">
        <v>67</v>
      </c>
      <c r="C28" s="10">
        <v>9262</v>
      </c>
      <c r="D28" s="10">
        <v>9262</v>
      </c>
      <c r="E28" s="9">
        <v>2</v>
      </c>
      <c r="F28" s="10">
        <v>5864</v>
      </c>
      <c r="G28" s="9">
        <v>1097</v>
      </c>
      <c r="H28" s="9">
        <v>4.29</v>
      </c>
      <c r="I28" s="12">
        <v>7.8</v>
      </c>
      <c r="J28" s="10">
        <v>35421</v>
      </c>
      <c r="K28" s="10">
        <v>0</v>
      </c>
      <c r="L28" s="10">
        <v>4995.8</v>
      </c>
      <c r="M28" s="10">
        <v>10143.1</v>
      </c>
      <c r="N28" s="10">
        <v>2037</v>
      </c>
      <c r="O28" s="10">
        <v>1726</v>
      </c>
      <c r="P28" s="10">
        <v>441</v>
      </c>
      <c r="Q28" s="18">
        <v>392</v>
      </c>
      <c r="R28" s="10">
        <f t="shared" si="0"/>
        <v>166</v>
      </c>
      <c r="S28" s="10">
        <v>558</v>
      </c>
      <c r="T28" s="10">
        <v>33</v>
      </c>
      <c r="U28" s="10">
        <v>67</v>
      </c>
      <c r="V28" s="9">
        <v>58.83</v>
      </c>
      <c r="W28" s="10">
        <v>5.87</v>
      </c>
      <c r="X28" s="10">
        <v>328.01</v>
      </c>
      <c r="Y28" s="12">
        <v>3038</v>
      </c>
      <c r="Z28" s="9">
        <v>1</v>
      </c>
      <c r="AA28" s="9">
        <v>0.84</v>
      </c>
      <c r="AB28" s="9">
        <v>0</v>
      </c>
      <c r="AC28" s="9">
        <v>0</v>
      </c>
      <c r="AD28" s="9" t="s">
        <v>63</v>
      </c>
      <c r="AE28" s="9" t="s">
        <v>64</v>
      </c>
    </row>
    <row r="29" spans="1:31" x14ac:dyDescent="0.35">
      <c r="A29" s="16">
        <v>46140</v>
      </c>
      <c r="B29" s="9" t="s">
        <v>67</v>
      </c>
      <c r="C29" s="10">
        <v>9515</v>
      </c>
      <c r="D29" s="10">
        <v>9515</v>
      </c>
      <c r="E29" s="9">
        <v>2.1</v>
      </c>
      <c r="F29" s="10">
        <v>5944</v>
      </c>
      <c r="G29" s="9">
        <v>1100</v>
      </c>
      <c r="H29" s="9">
        <v>4.24</v>
      </c>
      <c r="I29" s="12">
        <v>8.5</v>
      </c>
      <c r="J29" s="10">
        <v>33524</v>
      </c>
      <c r="K29" s="10">
        <v>0</v>
      </c>
      <c r="L29" s="10">
        <v>5672.7</v>
      </c>
      <c r="M29" s="10">
        <v>10084.799999999999</v>
      </c>
      <c r="N29" s="10">
        <v>2847</v>
      </c>
      <c r="O29" s="10">
        <v>1808</v>
      </c>
      <c r="P29" s="10">
        <v>356</v>
      </c>
      <c r="Q29" s="18">
        <v>387</v>
      </c>
      <c r="R29" s="10">
        <f t="shared" si="0"/>
        <v>168</v>
      </c>
      <c r="S29" s="10">
        <v>555</v>
      </c>
      <c r="T29" s="10">
        <v>36</v>
      </c>
      <c r="U29" s="10">
        <v>64</v>
      </c>
      <c r="V29" s="9">
        <v>58.16</v>
      </c>
      <c r="W29" s="10">
        <v>4.83</v>
      </c>
      <c r="X29" s="10">
        <v>359.54</v>
      </c>
      <c r="Y29" s="12">
        <v>3421</v>
      </c>
      <c r="Z29" s="9">
        <v>1</v>
      </c>
      <c r="AA29" s="9">
        <v>0.87</v>
      </c>
      <c r="AB29" s="9">
        <v>0</v>
      </c>
      <c r="AC29" s="9">
        <v>0</v>
      </c>
      <c r="AD29" s="9" t="s">
        <v>63</v>
      </c>
      <c r="AE29" s="9" t="s">
        <v>64</v>
      </c>
    </row>
    <row r="30" spans="1:31" x14ac:dyDescent="0.35">
      <c r="A30" s="16">
        <v>46141</v>
      </c>
      <c r="B30" s="9" t="s">
        <v>67</v>
      </c>
      <c r="C30" s="10">
        <v>10210</v>
      </c>
      <c r="D30" s="10">
        <v>10210</v>
      </c>
      <c r="E30" s="9">
        <v>2.2000000000000002</v>
      </c>
      <c r="F30" s="10">
        <v>5976</v>
      </c>
      <c r="G30" s="9">
        <v>1101</v>
      </c>
      <c r="H30" s="9">
        <v>4.29</v>
      </c>
      <c r="I30" s="12">
        <v>7.56</v>
      </c>
      <c r="J30" s="10">
        <v>38010</v>
      </c>
      <c r="K30" s="10">
        <v>0</v>
      </c>
      <c r="L30" s="10">
        <v>6553.4</v>
      </c>
      <c r="M30" s="10">
        <v>10250.200000000001</v>
      </c>
      <c r="N30" s="10">
        <v>1881</v>
      </c>
      <c r="O30" s="10">
        <v>2066</v>
      </c>
      <c r="P30" s="10">
        <v>366</v>
      </c>
      <c r="Q30" s="18">
        <v>366</v>
      </c>
      <c r="R30" s="10">
        <f t="shared" si="0"/>
        <v>178</v>
      </c>
      <c r="S30" s="10">
        <v>544</v>
      </c>
      <c r="T30" s="10">
        <v>39</v>
      </c>
      <c r="U30" s="10">
        <v>61</v>
      </c>
      <c r="V30" s="9">
        <v>58.06</v>
      </c>
      <c r="W30" s="10">
        <v>6.89</v>
      </c>
      <c r="X30" s="10">
        <v>357.98</v>
      </c>
      <c r="Y30" s="12">
        <v>3655</v>
      </c>
      <c r="Z30" s="9">
        <v>1</v>
      </c>
      <c r="AA30" s="9">
        <v>0.93</v>
      </c>
      <c r="AB30" s="9">
        <v>0</v>
      </c>
      <c r="AC30" s="9">
        <v>0</v>
      </c>
      <c r="AD30" s="9" t="s">
        <v>63</v>
      </c>
      <c r="AE30" s="9" t="s">
        <v>64</v>
      </c>
    </row>
    <row r="31" spans="1:31" x14ac:dyDescent="0.35">
      <c r="A31" s="16">
        <v>46142</v>
      </c>
      <c r="B31" s="9" t="s">
        <v>67</v>
      </c>
      <c r="C31" s="10">
        <v>10130</v>
      </c>
      <c r="D31" s="10">
        <v>10130</v>
      </c>
      <c r="E31" s="9">
        <v>2.2000000000000002</v>
      </c>
      <c r="F31" s="10">
        <v>0</v>
      </c>
      <c r="G31" s="9">
        <v>0</v>
      </c>
      <c r="H31" s="9">
        <v>0</v>
      </c>
      <c r="I31" s="12">
        <v>7.4</v>
      </c>
      <c r="J31" s="10">
        <v>43244</v>
      </c>
      <c r="K31" s="10">
        <v>0</v>
      </c>
      <c r="L31" s="10">
        <v>5926.8</v>
      </c>
      <c r="M31" s="10">
        <v>10536.5</v>
      </c>
      <c r="N31" s="10">
        <v>1936</v>
      </c>
      <c r="O31" s="10">
        <v>2107</v>
      </c>
      <c r="P31" s="10">
        <v>355</v>
      </c>
      <c r="Q31" s="18">
        <v>365</v>
      </c>
      <c r="R31" s="10">
        <f t="shared" si="0"/>
        <v>183</v>
      </c>
      <c r="S31" s="10">
        <v>548</v>
      </c>
      <c r="T31" s="10">
        <v>36</v>
      </c>
      <c r="U31" s="10">
        <v>64</v>
      </c>
      <c r="V31" s="9">
        <v>59.12</v>
      </c>
      <c r="W31" s="10">
        <v>6.57</v>
      </c>
      <c r="X31" s="10">
        <v>354.99</v>
      </c>
      <c r="Y31" s="12">
        <v>3596</v>
      </c>
      <c r="Z31" s="9">
        <v>1</v>
      </c>
      <c r="AA31" s="9">
        <v>0.92</v>
      </c>
      <c r="AB31" s="9">
        <v>0</v>
      </c>
      <c r="AC31" s="9">
        <v>0</v>
      </c>
      <c r="AD31" s="9" t="s">
        <v>63</v>
      </c>
      <c r="AE31" s="9" t="s">
        <v>64</v>
      </c>
    </row>
    <row r="32" spans="1:31" x14ac:dyDescent="0.35">
      <c r="A32" s="16">
        <v>46143</v>
      </c>
      <c r="B32" s="9" t="s">
        <v>68</v>
      </c>
      <c r="C32" s="10">
        <v>10250</v>
      </c>
      <c r="D32" s="10">
        <v>10250</v>
      </c>
      <c r="E32" s="9">
        <v>2.2000000000000002</v>
      </c>
      <c r="F32" s="10">
        <v>5909</v>
      </c>
      <c r="G32" s="9">
        <v>1113</v>
      </c>
      <c r="H32" s="39">
        <v>4.32</v>
      </c>
      <c r="I32" s="12">
        <v>8.3000000000000007</v>
      </c>
      <c r="J32" s="10">
        <v>0</v>
      </c>
      <c r="K32" s="10">
        <v>0</v>
      </c>
      <c r="L32" s="10">
        <v>5877</v>
      </c>
      <c r="M32" s="10">
        <v>10914</v>
      </c>
      <c r="N32" s="10">
        <v>3119</v>
      </c>
      <c r="O32" s="10">
        <v>2131</v>
      </c>
      <c r="P32" s="10">
        <v>277</v>
      </c>
      <c r="Q32" s="18">
        <v>365</v>
      </c>
      <c r="R32" s="10">
        <f t="shared" si="0"/>
        <v>125</v>
      </c>
      <c r="S32" s="10">
        <v>490</v>
      </c>
      <c r="T32" s="10">
        <v>35</v>
      </c>
      <c r="U32" s="10">
        <v>65</v>
      </c>
      <c r="V32" s="11" t="s">
        <v>62</v>
      </c>
      <c r="W32" s="10">
        <v>4.5999999999999996</v>
      </c>
      <c r="X32" s="10">
        <v>350.05</v>
      </c>
      <c r="Y32" s="12">
        <v>3588</v>
      </c>
      <c r="Z32" s="9">
        <v>1</v>
      </c>
      <c r="AA32" s="9">
        <v>0.93</v>
      </c>
      <c r="AB32" s="9">
        <v>0.92</v>
      </c>
      <c r="AC32" s="9">
        <v>0.85743999999999998</v>
      </c>
      <c r="AD32" s="9" t="s">
        <v>63</v>
      </c>
      <c r="AE32" s="9" t="s">
        <v>64</v>
      </c>
    </row>
    <row r="33" spans="1:31" x14ac:dyDescent="0.35">
      <c r="A33" s="16">
        <v>46144</v>
      </c>
      <c r="B33" s="9" t="s">
        <v>68</v>
      </c>
      <c r="C33" s="10">
        <v>10360</v>
      </c>
      <c r="D33" s="10">
        <v>10360</v>
      </c>
      <c r="E33" s="9">
        <v>2.2000000000000002</v>
      </c>
      <c r="F33" s="10">
        <v>5914</v>
      </c>
      <c r="G33" s="9">
        <v>1132</v>
      </c>
      <c r="H33" s="40">
        <v>4.33</v>
      </c>
      <c r="I33" s="12">
        <v>7.56</v>
      </c>
      <c r="J33" s="10">
        <v>41086</v>
      </c>
      <c r="K33" s="10">
        <v>0</v>
      </c>
      <c r="L33" s="10">
        <v>6736.9</v>
      </c>
      <c r="M33" s="10">
        <v>10105.4</v>
      </c>
      <c r="N33" s="10">
        <v>2029</v>
      </c>
      <c r="O33" s="10">
        <v>2143</v>
      </c>
      <c r="P33" s="10">
        <v>192</v>
      </c>
      <c r="Q33" s="18">
        <v>367</v>
      </c>
      <c r="R33" s="10">
        <f t="shared" si="0"/>
        <v>182</v>
      </c>
      <c r="S33" s="10">
        <v>549</v>
      </c>
      <c r="T33" s="10">
        <v>40</v>
      </c>
      <c r="U33" s="10">
        <v>60</v>
      </c>
      <c r="V33" s="9">
        <v>59</v>
      </c>
      <c r="W33" s="10">
        <v>6.5</v>
      </c>
      <c r="X33" s="10">
        <v>339.96</v>
      </c>
      <c r="Y33" s="12">
        <v>3522</v>
      </c>
      <c r="Z33" s="9">
        <v>1</v>
      </c>
      <c r="AA33" s="9">
        <v>0.94</v>
      </c>
      <c r="AB33" s="9">
        <v>0.94</v>
      </c>
      <c r="AC33" s="9">
        <v>0.88548000000000004</v>
      </c>
      <c r="AD33" s="9" t="s">
        <v>63</v>
      </c>
      <c r="AE33" s="9" t="s">
        <v>64</v>
      </c>
    </row>
    <row r="34" spans="1:31" x14ac:dyDescent="0.35">
      <c r="A34" s="16">
        <v>46145</v>
      </c>
      <c r="B34" s="9" t="s">
        <v>68</v>
      </c>
      <c r="C34" s="10">
        <v>10235</v>
      </c>
      <c r="D34" s="10">
        <v>10235</v>
      </c>
      <c r="E34" s="9">
        <v>2.2000000000000002</v>
      </c>
      <c r="F34" s="10">
        <v>5952</v>
      </c>
      <c r="G34" s="9">
        <v>1110</v>
      </c>
      <c r="H34" s="39">
        <v>4.33</v>
      </c>
      <c r="I34" s="12">
        <v>7.6</v>
      </c>
      <c r="J34" s="10">
        <v>38695</v>
      </c>
      <c r="K34" s="10">
        <v>0</v>
      </c>
      <c r="L34" s="10">
        <v>6949.4</v>
      </c>
      <c r="M34" s="10">
        <v>10000.299999999999</v>
      </c>
      <c r="N34" s="10">
        <v>2019</v>
      </c>
      <c r="O34" s="10">
        <v>2093</v>
      </c>
      <c r="P34" s="10">
        <v>226</v>
      </c>
      <c r="Q34" s="18">
        <v>361</v>
      </c>
      <c r="R34" s="10">
        <f t="shared" si="0"/>
        <v>180</v>
      </c>
      <c r="S34" s="10">
        <v>541</v>
      </c>
      <c r="T34" s="10">
        <v>41</v>
      </c>
      <c r="U34" s="10">
        <v>59</v>
      </c>
      <c r="V34" s="9">
        <v>58</v>
      </c>
      <c r="W34" s="9"/>
      <c r="X34" s="10">
        <v>340.01</v>
      </c>
      <c r="Y34" s="12">
        <v>3480</v>
      </c>
      <c r="Z34" s="9">
        <v>1</v>
      </c>
      <c r="AA34" s="9">
        <v>0.93</v>
      </c>
      <c r="AB34" s="9">
        <v>0</v>
      </c>
      <c r="AC34" s="9">
        <v>0</v>
      </c>
      <c r="AD34" s="9" t="s">
        <v>63</v>
      </c>
      <c r="AE34" s="9" t="s">
        <v>64</v>
      </c>
    </row>
    <row r="35" spans="1:31" x14ac:dyDescent="0.35">
      <c r="A35" s="16">
        <v>46146</v>
      </c>
      <c r="B35" s="9" t="s">
        <v>68</v>
      </c>
      <c r="C35" s="10">
        <v>10020</v>
      </c>
      <c r="D35" s="10">
        <v>10020</v>
      </c>
      <c r="E35" s="9">
        <v>2.2000000000000002</v>
      </c>
      <c r="F35" s="10">
        <v>5866</v>
      </c>
      <c r="G35" s="9">
        <v>1120</v>
      </c>
      <c r="H35" s="40">
        <v>4.3499999999999996</v>
      </c>
      <c r="I35" s="12">
        <v>10.82</v>
      </c>
      <c r="J35" s="10">
        <v>38346</v>
      </c>
      <c r="K35" s="10">
        <v>0</v>
      </c>
      <c r="L35" s="10">
        <v>6066.6</v>
      </c>
      <c r="M35" s="10">
        <v>10279.5</v>
      </c>
      <c r="N35" s="10">
        <v>1909</v>
      </c>
      <c r="O35" s="10">
        <v>2091</v>
      </c>
      <c r="P35" s="10">
        <v>367</v>
      </c>
      <c r="Q35" s="18">
        <v>362</v>
      </c>
      <c r="R35" s="10">
        <f t="shared" si="0"/>
        <v>224</v>
      </c>
      <c r="S35" s="10">
        <v>586</v>
      </c>
      <c r="T35" s="10">
        <v>37</v>
      </c>
      <c r="U35" s="10">
        <v>63</v>
      </c>
      <c r="V35" s="9">
        <v>59</v>
      </c>
      <c r="W35" s="10">
        <v>7.3</v>
      </c>
      <c r="X35" s="10">
        <v>368.96</v>
      </c>
      <c r="Y35" s="12">
        <v>3697</v>
      </c>
      <c r="Z35" s="9">
        <v>1</v>
      </c>
      <c r="AA35" s="9">
        <v>0.91</v>
      </c>
      <c r="AB35" s="9">
        <v>0</v>
      </c>
      <c r="AC35" s="9">
        <v>0</v>
      </c>
      <c r="AD35" s="9" t="s">
        <v>63</v>
      </c>
      <c r="AE35" s="9" t="s">
        <v>64</v>
      </c>
    </row>
    <row r="36" spans="1:31" x14ac:dyDescent="0.35">
      <c r="A36" s="16">
        <v>46147</v>
      </c>
      <c r="B36" s="9" t="s">
        <v>68</v>
      </c>
      <c r="C36" s="10">
        <v>10105</v>
      </c>
      <c r="D36" s="10">
        <v>10105</v>
      </c>
      <c r="E36" s="9">
        <v>2.2000000000000002</v>
      </c>
      <c r="F36" s="10">
        <v>5933</v>
      </c>
      <c r="G36" s="9">
        <v>1128</v>
      </c>
      <c r="H36" s="39">
        <v>4.3499999999999996</v>
      </c>
      <c r="I36" s="12">
        <v>9.42</v>
      </c>
      <c r="J36" s="10">
        <v>35458</v>
      </c>
      <c r="K36" s="10">
        <v>0</v>
      </c>
      <c r="L36" s="10">
        <v>6151</v>
      </c>
      <c r="M36" s="10">
        <v>10472</v>
      </c>
      <c r="N36" s="10">
        <v>1937</v>
      </c>
      <c r="O36" s="10">
        <v>1989</v>
      </c>
      <c r="P36" s="10">
        <v>284</v>
      </c>
      <c r="Q36" s="18">
        <v>370</v>
      </c>
      <c r="R36" s="10">
        <f t="shared" si="0"/>
        <v>173</v>
      </c>
      <c r="S36" s="10">
        <v>543</v>
      </c>
      <c r="T36" s="10">
        <v>37</v>
      </c>
      <c r="U36" s="10">
        <v>63</v>
      </c>
      <c r="V36" s="9">
        <v>58</v>
      </c>
      <c r="W36" s="10">
        <v>6.6</v>
      </c>
      <c r="X36" s="10">
        <v>343.99</v>
      </c>
      <c r="Y36" s="12">
        <v>3476</v>
      </c>
      <c r="Z36" s="9">
        <v>1</v>
      </c>
      <c r="AA36" s="9">
        <v>0.92</v>
      </c>
      <c r="AB36" s="9">
        <v>0.94</v>
      </c>
      <c r="AC36" s="9">
        <v>0.86385999999999996</v>
      </c>
      <c r="AD36" s="9" t="s">
        <v>63</v>
      </c>
      <c r="AE36" s="9" t="s">
        <v>64</v>
      </c>
    </row>
    <row r="37" spans="1:31" x14ac:dyDescent="0.35">
      <c r="A37" s="16">
        <v>46148</v>
      </c>
      <c r="B37" s="9" t="s">
        <v>68</v>
      </c>
      <c r="C37" s="10">
        <v>9255</v>
      </c>
      <c r="D37" s="10">
        <v>9255</v>
      </c>
      <c r="E37" s="9">
        <v>2</v>
      </c>
      <c r="F37" s="10">
        <v>5802</v>
      </c>
      <c r="G37" s="9">
        <v>1128</v>
      </c>
      <c r="H37" s="40">
        <v>4.32</v>
      </c>
      <c r="I37" s="12">
        <v>9.94</v>
      </c>
      <c r="J37" s="10">
        <v>37407</v>
      </c>
      <c r="K37" s="10">
        <v>0</v>
      </c>
      <c r="L37" s="10">
        <v>5842</v>
      </c>
      <c r="M37" s="10">
        <v>9531</v>
      </c>
      <c r="N37" s="10">
        <v>1914</v>
      </c>
      <c r="O37" s="10">
        <v>1820</v>
      </c>
      <c r="P37" s="10">
        <v>300</v>
      </c>
      <c r="Q37" s="18">
        <v>378</v>
      </c>
      <c r="R37" s="10">
        <f t="shared" si="0"/>
        <v>218</v>
      </c>
      <c r="S37" s="10">
        <v>596</v>
      </c>
      <c r="T37" s="10">
        <v>38</v>
      </c>
      <c r="U37" s="10">
        <v>62</v>
      </c>
      <c r="V37" s="9">
        <v>58</v>
      </c>
      <c r="W37" s="10">
        <v>6.9</v>
      </c>
      <c r="X37" s="10">
        <v>355.05</v>
      </c>
      <c r="Y37" s="12">
        <v>3286</v>
      </c>
      <c r="Z37" s="9">
        <v>1</v>
      </c>
      <c r="AA37" s="9">
        <v>0.84</v>
      </c>
      <c r="AB37" s="9">
        <v>0</v>
      </c>
      <c r="AC37" s="9">
        <v>0</v>
      </c>
      <c r="AD37" s="9" t="s">
        <v>63</v>
      </c>
      <c r="AE37" s="9" t="s">
        <v>64</v>
      </c>
    </row>
    <row r="38" spans="1:31" x14ac:dyDescent="0.35">
      <c r="A38" s="16">
        <v>46149</v>
      </c>
      <c r="B38" s="9" t="s">
        <v>68</v>
      </c>
      <c r="C38" s="10">
        <v>9610</v>
      </c>
      <c r="D38" s="10">
        <v>9610</v>
      </c>
      <c r="E38" s="9">
        <v>2.1</v>
      </c>
      <c r="F38" s="10">
        <v>5831</v>
      </c>
      <c r="G38" s="9">
        <v>1114</v>
      </c>
      <c r="H38" s="39">
        <v>4.32</v>
      </c>
      <c r="I38" s="12">
        <v>10.71</v>
      </c>
      <c r="J38" s="10">
        <v>40465</v>
      </c>
      <c r="K38" s="10">
        <v>0</v>
      </c>
      <c r="L38" s="10">
        <v>5557</v>
      </c>
      <c r="M38" s="10">
        <v>10320</v>
      </c>
      <c r="N38" s="10">
        <v>1976</v>
      </c>
      <c r="O38" s="10">
        <v>0</v>
      </c>
      <c r="P38" s="10">
        <v>469</v>
      </c>
      <c r="Q38" s="18">
        <v>374</v>
      </c>
      <c r="R38" s="10">
        <f t="shared" si="0"/>
        <v>0</v>
      </c>
      <c r="S38" s="10">
        <v>374</v>
      </c>
      <c r="T38" s="10">
        <v>35</v>
      </c>
      <c r="U38" s="10">
        <v>65</v>
      </c>
      <c r="V38" s="9">
        <v>58</v>
      </c>
      <c r="W38" s="10">
        <v>7</v>
      </c>
      <c r="X38" s="10">
        <v>350.05</v>
      </c>
      <c r="Y38" s="12">
        <v>3364</v>
      </c>
      <c r="Z38" s="9">
        <v>1</v>
      </c>
      <c r="AA38" s="9">
        <v>0.87</v>
      </c>
      <c r="AB38" s="9">
        <v>0</v>
      </c>
      <c r="AC38" s="9">
        <v>0</v>
      </c>
      <c r="AD38" s="9" t="s">
        <v>63</v>
      </c>
      <c r="AE38" s="9" t="s">
        <v>64</v>
      </c>
    </row>
    <row r="39" spans="1:31" x14ac:dyDescent="0.35">
      <c r="A39" s="16">
        <v>46150</v>
      </c>
      <c r="B39" s="9" t="s">
        <v>68</v>
      </c>
      <c r="C39" s="10">
        <v>9512</v>
      </c>
      <c r="D39" s="10">
        <v>9512</v>
      </c>
      <c r="E39" s="9">
        <v>2.1</v>
      </c>
      <c r="F39" s="10">
        <v>5823</v>
      </c>
      <c r="G39" s="9">
        <v>1111</v>
      </c>
      <c r="H39" s="40">
        <v>4.3499999999999996</v>
      </c>
      <c r="I39" s="12">
        <v>10.59</v>
      </c>
      <c r="J39" s="10">
        <v>40758</v>
      </c>
      <c r="K39" s="10">
        <v>0</v>
      </c>
      <c r="L39" s="10">
        <v>5234</v>
      </c>
      <c r="M39" s="10">
        <v>10605</v>
      </c>
      <c r="N39" s="10">
        <v>2109</v>
      </c>
      <c r="O39" s="10">
        <v>1892</v>
      </c>
      <c r="P39" s="10">
        <v>390</v>
      </c>
      <c r="Q39" s="18">
        <v>380</v>
      </c>
      <c r="R39" s="10">
        <f t="shared" si="0"/>
        <v>169</v>
      </c>
      <c r="S39" s="10">
        <v>549</v>
      </c>
      <c r="T39" s="10">
        <v>33</v>
      </c>
      <c r="U39" s="10">
        <v>67</v>
      </c>
      <c r="V39" s="9">
        <v>58</v>
      </c>
      <c r="W39" s="10">
        <v>6.5</v>
      </c>
      <c r="X39" s="10">
        <v>361.02</v>
      </c>
      <c r="Y39" s="12">
        <v>3434</v>
      </c>
      <c r="Z39" s="9">
        <v>1</v>
      </c>
      <c r="AA39" s="9">
        <v>0.87</v>
      </c>
      <c r="AB39" s="9">
        <v>0</v>
      </c>
      <c r="AC39" s="9">
        <v>0</v>
      </c>
      <c r="AD39" s="9" t="s">
        <v>63</v>
      </c>
      <c r="AE39" s="9" t="s">
        <v>64</v>
      </c>
    </row>
    <row r="40" spans="1:31" x14ac:dyDescent="0.35">
      <c r="A40" s="16">
        <v>46151</v>
      </c>
      <c r="B40" s="9" t="s">
        <v>68</v>
      </c>
      <c r="C40" s="10">
        <v>9501</v>
      </c>
      <c r="D40" s="10">
        <v>9501</v>
      </c>
      <c r="E40" s="9">
        <v>2</v>
      </c>
      <c r="F40" s="10">
        <v>5710</v>
      </c>
      <c r="G40" s="9">
        <v>1123</v>
      </c>
      <c r="H40" s="39">
        <v>4.34</v>
      </c>
      <c r="I40" s="12">
        <v>9.08</v>
      </c>
      <c r="J40" s="10">
        <v>37814</v>
      </c>
      <c r="K40" s="10">
        <v>0</v>
      </c>
      <c r="L40" s="10">
        <v>6286</v>
      </c>
      <c r="M40" s="10">
        <v>9429</v>
      </c>
      <c r="N40" s="10">
        <v>1996</v>
      </c>
      <c r="O40" s="10">
        <v>1811</v>
      </c>
      <c r="P40" s="10">
        <v>324</v>
      </c>
      <c r="Q40" s="18">
        <v>382</v>
      </c>
      <c r="R40" s="10">
        <f t="shared" si="0"/>
        <v>166</v>
      </c>
      <c r="S40" s="10">
        <v>548</v>
      </c>
      <c r="T40" s="10">
        <v>40</v>
      </c>
      <c r="U40" s="10">
        <v>60</v>
      </c>
      <c r="V40" s="9">
        <v>58</v>
      </c>
      <c r="W40" s="10">
        <v>6.2</v>
      </c>
      <c r="X40" s="10">
        <v>369.96</v>
      </c>
      <c r="Y40" s="12">
        <v>3515</v>
      </c>
      <c r="Z40" s="9">
        <v>1</v>
      </c>
      <c r="AA40" s="9">
        <v>0.86</v>
      </c>
      <c r="AB40" s="9">
        <v>0.69</v>
      </c>
      <c r="AC40" s="9">
        <v>0.59399999999999997</v>
      </c>
      <c r="AD40" s="9" t="s">
        <v>63</v>
      </c>
      <c r="AE40" s="9" t="s">
        <v>64</v>
      </c>
    </row>
    <row r="41" spans="1:31" x14ac:dyDescent="0.35">
      <c r="A41" s="16">
        <v>46152</v>
      </c>
      <c r="B41" s="9" t="s">
        <v>68</v>
      </c>
      <c r="C41" s="10">
        <v>9230</v>
      </c>
      <c r="D41" s="10">
        <v>9230</v>
      </c>
      <c r="E41" s="9">
        <v>2</v>
      </c>
      <c r="F41" s="10">
        <v>5800.14</v>
      </c>
      <c r="G41" s="9">
        <v>1119.46</v>
      </c>
      <c r="H41" s="40">
        <v>4.2300000000000004</v>
      </c>
      <c r="I41" s="12">
        <v>7.99</v>
      </c>
      <c r="J41" s="10">
        <v>35990</v>
      </c>
      <c r="K41" s="10">
        <v>0</v>
      </c>
      <c r="L41" s="10">
        <v>6837</v>
      </c>
      <c r="M41" s="10">
        <v>8702</v>
      </c>
      <c r="N41" s="10">
        <v>2153</v>
      </c>
      <c r="O41" s="10">
        <v>1775</v>
      </c>
      <c r="P41" s="10">
        <v>153</v>
      </c>
      <c r="Q41" s="18">
        <v>378</v>
      </c>
      <c r="R41" s="10">
        <f t="shared" si="0"/>
        <v>173</v>
      </c>
      <c r="S41" s="10">
        <v>551</v>
      </c>
      <c r="T41" s="10">
        <v>44</v>
      </c>
      <c r="U41" s="10">
        <v>56</v>
      </c>
      <c r="V41" s="9">
        <v>57</v>
      </c>
      <c r="W41" s="10">
        <v>5.8</v>
      </c>
      <c r="X41" s="10">
        <v>385.05</v>
      </c>
      <c r="Y41" s="12">
        <v>3554</v>
      </c>
      <c r="Z41" s="9">
        <v>1</v>
      </c>
      <c r="AA41" s="9">
        <v>0.84</v>
      </c>
      <c r="AB41" s="9">
        <v>0.97</v>
      </c>
      <c r="AC41" s="9">
        <v>0.81433339999999999</v>
      </c>
      <c r="AD41" s="9" t="s">
        <v>63</v>
      </c>
      <c r="AE41" s="9" t="s">
        <v>64</v>
      </c>
    </row>
    <row r="42" spans="1:31" x14ac:dyDescent="0.35">
      <c r="A42" s="16">
        <v>46153</v>
      </c>
      <c r="B42" s="9" t="s">
        <v>68</v>
      </c>
      <c r="C42" s="10">
        <v>9020</v>
      </c>
      <c r="D42" s="10">
        <v>9020</v>
      </c>
      <c r="E42" s="9">
        <v>1.9</v>
      </c>
      <c r="F42" s="10">
        <v>5680</v>
      </c>
      <c r="G42" s="9">
        <v>1104</v>
      </c>
      <c r="H42" s="39">
        <v>4.22</v>
      </c>
      <c r="I42" s="12">
        <v>8.51</v>
      </c>
      <c r="J42" s="10">
        <v>34075</v>
      </c>
      <c r="K42" s="10">
        <v>0</v>
      </c>
      <c r="L42" s="10">
        <v>6007</v>
      </c>
      <c r="M42" s="10">
        <v>8644</v>
      </c>
      <c r="N42" s="10">
        <v>2139</v>
      </c>
      <c r="O42" s="10">
        <v>1714</v>
      </c>
      <c r="P42" s="10">
        <v>156</v>
      </c>
      <c r="Q42" s="18">
        <v>568</v>
      </c>
      <c r="R42" s="10">
        <f t="shared" si="0"/>
        <v>-23</v>
      </c>
      <c r="S42" s="10">
        <v>545</v>
      </c>
      <c r="T42" s="10">
        <v>41</v>
      </c>
      <c r="U42" s="10">
        <v>59</v>
      </c>
      <c r="V42" s="9">
        <v>59</v>
      </c>
      <c r="W42" s="10">
        <v>5.8</v>
      </c>
      <c r="X42" s="10">
        <v>354.99</v>
      </c>
      <c r="Y42" s="12">
        <v>3202</v>
      </c>
      <c r="Z42" s="9">
        <v>1</v>
      </c>
      <c r="AA42" s="9">
        <v>0.82</v>
      </c>
      <c r="AB42" s="9">
        <v>0</v>
      </c>
      <c r="AC42" s="9">
        <v>0</v>
      </c>
      <c r="AD42" s="9" t="s">
        <v>63</v>
      </c>
      <c r="AE42" s="9" t="s">
        <v>64</v>
      </c>
    </row>
    <row r="43" spans="1:31" x14ac:dyDescent="0.35">
      <c r="A43" s="16">
        <v>46154</v>
      </c>
      <c r="B43" s="9" t="s">
        <v>68</v>
      </c>
      <c r="C43" s="10">
        <v>2350</v>
      </c>
      <c r="D43" s="10">
        <v>2350</v>
      </c>
      <c r="E43" s="9">
        <v>0.5</v>
      </c>
      <c r="F43" s="10">
        <v>2008</v>
      </c>
      <c r="G43" s="9">
        <v>952</v>
      </c>
      <c r="H43" s="40">
        <v>1.44</v>
      </c>
      <c r="I43" s="12">
        <v>6.3</v>
      </c>
      <c r="J43" s="10">
        <v>13558</v>
      </c>
      <c r="K43" s="10">
        <v>0</v>
      </c>
      <c r="L43" s="10">
        <v>1324.7</v>
      </c>
      <c r="M43" s="10">
        <v>2460.1</v>
      </c>
      <c r="N43" s="10">
        <v>739</v>
      </c>
      <c r="O43" s="10">
        <v>459</v>
      </c>
      <c r="P43" s="10">
        <v>0</v>
      </c>
      <c r="Q43" s="18">
        <v>505</v>
      </c>
      <c r="R43" s="10">
        <f t="shared" si="0"/>
        <v>235</v>
      </c>
      <c r="S43" s="10">
        <v>740</v>
      </c>
      <c r="T43" s="10">
        <v>35</v>
      </c>
      <c r="U43" s="10">
        <v>65</v>
      </c>
      <c r="V43" s="9">
        <v>59</v>
      </c>
      <c r="W43" s="10">
        <v>4.4000000000000004</v>
      </c>
      <c r="X43" s="10">
        <v>365.11</v>
      </c>
      <c r="Y43" s="12">
        <v>858</v>
      </c>
      <c r="Z43" s="9">
        <v>1</v>
      </c>
      <c r="AA43" s="9">
        <v>0.21</v>
      </c>
      <c r="AB43" s="9">
        <v>0</v>
      </c>
      <c r="AC43" s="9">
        <v>0</v>
      </c>
      <c r="AD43" s="9" t="s">
        <v>63</v>
      </c>
      <c r="AE43" s="9" t="s">
        <v>64</v>
      </c>
    </row>
    <row r="44" spans="1:31" x14ac:dyDescent="0.35">
      <c r="A44" s="16">
        <v>46155</v>
      </c>
      <c r="B44" s="9" t="s">
        <v>68</v>
      </c>
      <c r="C44" s="10">
        <v>750</v>
      </c>
      <c r="D44" s="10">
        <v>750</v>
      </c>
      <c r="E44" s="9">
        <v>0.2</v>
      </c>
      <c r="F44" s="10">
        <v>2057</v>
      </c>
      <c r="G44" s="9">
        <v>846</v>
      </c>
      <c r="H44" s="39">
        <v>1.37</v>
      </c>
      <c r="I44" s="12">
        <v>5.0999999999999996</v>
      </c>
      <c r="J44" s="10">
        <v>3889</v>
      </c>
      <c r="K44" s="10">
        <v>0</v>
      </c>
      <c r="L44" s="10">
        <v>495</v>
      </c>
      <c r="M44" s="10">
        <v>712</v>
      </c>
      <c r="N44" s="10">
        <v>346</v>
      </c>
      <c r="O44" s="10">
        <v>128</v>
      </c>
      <c r="P44" s="10">
        <v>0</v>
      </c>
      <c r="Q44" s="18">
        <v>441</v>
      </c>
      <c r="R44" s="10">
        <f t="shared" si="0"/>
        <v>214</v>
      </c>
      <c r="S44" s="10">
        <v>655</v>
      </c>
      <c r="T44" s="10">
        <v>41</v>
      </c>
      <c r="U44" s="10">
        <v>59</v>
      </c>
      <c r="V44" s="9">
        <v>59</v>
      </c>
      <c r="W44" s="10">
        <v>3</v>
      </c>
      <c r="X44" s="10">
        <v>360</v>
      </c>
      <c r="Y44" s="12">
        <v>270</v>
      </c>
      <c r="Z44" s="9">
        <v>1</v>
      </c>
      <c r="AA44" s="9">
        <v>7.0000000000000007E-2</v>
      </c>
      <c r="AB44" s="9">
        <v>0</v>
      </c>
      <c r="AC44" s="9">
        <v>0</v>
      </c>
      <c r="AD44" s="9" t="s">
        <v>63</v>
      </c>
      <c r="AE44" s="9" t="s">
        <v>64</v>
      </c>
    </row>
    <row r="45" spans="1:31" x14ac:dyDescent="0.35">
      <c r="A45" s="16">
        <v>46156</v>
      </c>
      <c r="B45" s="9" t="s">
        <v>68</v>
      </c>
      <c r="C45" s="10">
        <v>7070</v>
      </c>
      <c r="D45" s="10">
        <v>7350</v>
      </c>
      <c r="E45" s="9">
        <v>1.6</v>
      </c>
      <c r="F45" s="10">
        <v>5532</v>
      </c>
      <c r="G45" s="9">
        <v>1060</v>
      </c>
      <c r="H45" s="40">
        <v>4.13</v>
      </c>
      <c r="I45" s="12">
        <v>5.52</v>
      </c>
      <c r="J45" s="10">
        <v>17065</v>
      </c>
      <c r="K45" s="10">
        <v>0</v>
      </c>
      <c r="L45" s="10">
        <v>4822</v>
      </c>
      <c r="M45" s="10">
        <v>7232</v>
      </c>
      <c r="N45" s="10">
        <v>2002</v>
      </c>
      <c r="O45" s="10">
        <v>960</v>
      </c>
      <c r="P45" s="10">
        <v>199</v>
      </c>
      <c r="Q45" s="18">
        <v>377</v>
      </c>
      <c r="R45" s="10">
        <f t="shared" si="0"/>
        <v>179</v>
      </c>
      <c r="S45" s="10">
        <v>556</v>
      </c>
      <c r="T45" s="10">
        <v>40</v>
      </c>
      <c r="U45" s="10">
        <v>60</v>
      </c>
      <c r="V45" s="9">
        <v>57</v>
      </c>
      <c r="W45" s="10">
        <v>4.9000000000000004</v>
      </c>
      <c r="X45" s="10">
        <v>377.96</v>
      </c>
      <c r="Y45" s="12">
        <v>2778</v>
      </c>
      <c r="Z45" s="9">
        <v>1</v>
      </c>
      <c r="AA45" s="9">
        <v>0.67</v>
      </c>
      <c r="AB45" s="9">
        <v>0.7</v>
      </c>
      <c r="AC45" s="9">
        <v>0.46760000000000002</v>
      </c>
      <c r="AD45" s="9" t="s">
        <v>63</v>
      </c>
      <c r="AE45" s="9" t="s">
        <v>64</v>
      </c>
    </row>
    <row r="46" spans="1:31" x14ac:dyDescent="0.35">
      <c r="A46" s="16">
        <v>46157</v>
      </c>
      <c r="B46" s="9" t="s">
        <v>68</v>
      </c>
      <c r="C46" s="10">
        <v>9160</v>
      </c>
      <c r="D46" s="10">
        <v>9160</v>
      </c>
      <c r="E46" s="9">
        <v>2</v>
      </c>
      <c r="F46" s="10">
        <v>5640</v>
      </c>
      <c r="G46" s="9">
        <v>1097</v>
      </c>
      <c r="H46" s="39">
        <v>4.37</v>
      </c>
      <c r="I46" s="12">
        <v>8.07</v>
      </c>
      <c r="J46" s="10">
        <v>29095</v>
      </c>
      <c r="K46" s="10">
        <v>0</v>
      </c>
      <c r="L46" s="10">
        <v>5547</v>
      </c>
      <c r="M46" s="10">
        <v>9444</v>
      </c>
      <c r="N46" s="10">
        <v>1973</v>
      </c>
      <c r="O46" s="10">
        <v>1813</v>
      </c>
      <c r="P46" s="10">
        <v>402</v>
      </c>
      <c r="Q46" s="18">
        <v>370</v>
      </c>
      <c r="R46" s="10">
        <f t="shared" si="0"/>
        <v>181</v>
      </c>
      <c r="S46" s="10">
        <v>551</v>
      </c>
      <c r="T46" s="10">
        <v>37</v>
      </c>
      <c r="U46" s="10">
        <v>63</v>
      </c>
      <c r="V46" s="9">
        <v>58</v>
      </c>
      <c r="W46" s="10">
        <v>6.1</v>
      </c>
      <c r="X46" s="10">
        <v>381.99</v>
      </c>
      <c r="Y46" s="12">
        <v>3499</v>
      </c>
      <c r="Z46" s="9">
        <v>1</v>
      </c>
      <c r="AA46" s="9">
        <v>0.83</v>
      </c>
      <c r="AB46" s="9">
        <v>1</v>
      </c>
      <c r="AC46" s="9">
        <v>0.83299999999999996</v>
      </c>
      <c r="AD46" s="9" t="s">
        <v>63</v>
      </c>
      <c r="AE46" s="9" t="s">
        <v>64</v>
      </c>
    </row>
    <row r="47" spans="1:31" x14ac:dyDescent="0.35">
      <c r="A47" s="16">
        <v>46158</v>
      </c>
      <c r="B47" s="9" t="s">
        <v>68</v>
      </c>
      <c r="C47" s="10">
        <v>9501</v>
      </c>
      <c r="D47" s="10">
        <v>9501</v>
      </c>
      <c r="E47" s="9">
        <v>2</v>
      </c>
      <c r="F47" s="10">
        <v>5614</v>
      </c>
      <c r="G47" s="9">
        <v>1116</v>
      </c>
      <c r="H47" s="40">
        <v>4.4000000000000004</v>
      </c>
      <c r="I47" s="12">
        <v>8.16</v>
      </c>
      <c r="J47" s="10">
        <v>31998</v>
      </c>
      <c r="K47" s="10">
        <v>0</v>
      </c>
      <c r="L47" s="10">
        <v>5678</v>
      </c>
      <c r="M47" s="10">
        <v>10094</v>
      </c>
      <c r="N47" s="10">
        <v>2062</v>
      </c>
      <c r="O47" s="10">
        <v>1911</v>
      </c>
      <c r="P47" s="10">
        <v>387</v>
      </c>
      <c r="Q47" s="18">
        <v>372</v>
      </c>
      <c r="R47" s="10">
        <f t="shared" si="0"/>
        <v>175</v>
      </c>
      <c r="S47" s="10">
        <v>547</v>
      </c>
      <c r="T47" s="10">
        <v>36</v>
      </c>
      <c r="U47" s="10">
        <v>64</v>
      </c>
      <c r="V47" s="9">
        <v>58</v>
      </c>
      <c r="W47" s="10">
        <v>6.2</v>
      </c>
      <c r="X47" s="10">
        <v>359.01</v>
      </c>
      <c r="Y47" s="12">
        <v>3411</v>
      </c>
      <c r="Z47" s="9">
        <v>1</v>
      </c>
      <c r="AA47" s="9">
        <v>0.86</v>
      </c>
      <c r="AB47" s="9">
        <v>1</v>
      </c>
      <c r="AC47" s="9">
        <v>0.86399999999999999</v>
      </c>
      <c r="AD47" s="9" t="s">
        <v>63</v>
      </c>
      <c r="AE47" s="9" t="s">
        <v>64</v>
      </c>
    </row>
    <row r="48" spans="1:31" x14ac:dyDescent="0.35">
      <c r="A48" s="16">
        <v>46159</v>
      </c>
      <c r="B48" s="9" t="s">
        <v>68</v>
      </c>
      <c r="C48" s="10">
        <v>9260</v>
      </c>
      <c r="D48" s="10">
        <v>9810</v>
      </c>
      <c r="E48" s="9">
        <v>2.1</v>
      </c>
      <c r="F48" s="10">
        <v>5697</v>
      </c>
      <c r="G48" s="9">
        <v>1151</v>
      </c>
      <c r="H48" s="39">
        <v>4.3899999999999997</v>
      </c>
      <c r="I48" s="12">
        <v>10.38</v>
      </c>
      <c r="J48" s="10">
        <v>36870</v>
      </c>
      <c r="K48" s="10">
        <v>0</v>
      </c>
      <c r="L48" s="10">
        <v>5700</v>
      </c>
      <c r="M48" s="10">
        <v>10585</v>
      </c>
      <c r="N48" s="10">
        <v>2100</v>
      </c>
      <c r="O48" s="10">
        <v>1917</v>
      </c>
      <c r="P48" s="10">
        <v>260</v>
      </c>
      <c r="Q48" s="18">
        <v>375</v>
      </c>
      <c r="R48" s="10">
        <f t="shared" si="0"/>
        <v>169</v>
      </c>
      <c r="S48" s="10">
        <v>544</v>
      </c>
      <c r="T48" s="10">
        <v>35</v>
      </c>
      <c r="U48" s="10">
        <v>65</v>
      </c>
      <c r="V48" s="9">
        <v>58</v>
      </c>
      <c r="W48" s="10">
        <v>6.7</v>
      </c>
      <c r="X48" s="10">
        <v>347.71</v>
      </c>
      <c r="Y48" s="12">
        <v>3411</v>
      </c>
      <c r="Z48" s="9">
        <v>1</v>
      </c>
      <c r="AA48" s="9">
        <v>0.89</v>
      </c>
      <c r="AB48" s="9">
        <v>1</v>
      </c>
      <c r="AC48" s="9">
        <v>0.89200000000000002</v>
      </c>
      <c r="AD48" s="9" t="s">
        <v>63</v>
      </c>
      <c r="AE48" s="9" t="s">
        <v>64</v>
      </c>
    </row>
    <row r="49" spans="1:31" x14ac:dyDescent="0.35">
      <c r="A49" s="16">
        <v>46160</v>
      </c>
      <c r="B49" s="9" t="s">
        <v>68</v>
      </c>
      <c r="C49" s="10">
        <v>8975</v>
      </c>
      <c r="D49" s="10">
        <v>9250</v>
      </c>
      <c r="E49" s="9">
        <v>2</v>
      </c>
      <c r="F49" s="10">
        <v>5633</v>
      </c>
      <c r="G49" s="9">
        <v>1169</v>
      </c>
      <c r="H49" s="40">
        <v>4.3899999999999997</v>
      </c>
      <c r="I49" s="12">
        <v>9.93</v>
      </c>
      <c r="J49" s="10">
        <v>35307</v>
      </c>
      <c r="K49" s="10">
        <v>0</v>
      </c>
      <c r="L49" s="10">
        <v>5377</v>
      </c>
      <c r="M49" s="10">
        <v>9560</v>
      </c>
      <c r="N49" s="10">
        <v>2196</v>
      </c>
      <c r="O49" s="10">
        <v>1819</v>
      </c>
      <c r="P49" s="10">
        <v>288</v>
      </c>
      <c r="Q49" s="18">
        <v>372</v>
      </c>
      <c r="R49" s="10">
        <f t="shared" si="0"/>
        <v>176</v>
      </c>
      <c r="S49" s="10">
        <v>548</v>
      </c>
      <c r="T49" s="10">
        <v>36</v>
      </c>
      <c r="U49" s="10">
        <v>64</v>
      </c>
      <c r="V49" s="9">
        <v>59</v>
      </c>
      <c r="W49" s="10">
        <v>5.9</v>
      </c>
      <c r="X49" s="10">
        <v>352.97</v>
      </c>
      <c r="Y49" s="12">
        <v>3265</v>
      </c>
      <c r="Z49" s="9">
        <v>1</v>
      </c>
      <c r="AA49" s="9">
        <v>0.84</v>
      </c>
      <c r="AB49" s="9">
        <v>1</v>
      </c>
      <c r="AC49" s="9">
        <v>0.84099999999999997</v>
      </c>
      <c r="AD49" s="9" t="s">
        <v>63</v>
      </c>
      <c r="AE49" s="9" t="s">
        <v>64</v>
      </c>
    </row>
    <row r="50" spans="1:31" x14ac:dyDescent="0.35">
      <c r="A50" s="16">
        <v>46161</v>
      </c>
      <c r="B50" s="9" t="s">
        <v>68</v>
      </c>
      <c r="C50" s="10">
        <v>9235</v>
      </c>
      <c r="D50" s="10">
        <v>9510</v>
      </c>
      <c r="E50" s="9">
        <v>2.1</v>
      </c>
      <c r="F50" s="10">
        <v>5532</v>
      </c>
      <c r="G50" s="9">
        <v>1060</v>
      </c>
      <c r="H50" s="39">
        <v>4.13</v>
      </c>
      <c r="I50" s="12">
        <v>8.08</v>
      </c>
      <c r="J50" s="10">
        <v>33359</v>
      </c>
      <c r="K50" s="10">
        <v>0</v>
      </c>
      <c r="L50" s="10">
        <v>5872.4</v>
      </c>
      <c r="M50" s="10">
        <v>9581.2000000000007</v>
      </c>
      <c r="N50" s="10">
        <v>2312</v>
      </c>
      <c r="O50" s="10">
        <v>1837</v>
      </c>
      <c r="P50" s="10">
        <v>516</v>
      </c>
      <c r="Q50" s="18">
        <v>378</v>
      </c>
      <c r="R50" s="10">
        <f t="shared" si="0"/>
        <v>164</v>
      </c>
      <c r="S50" s="10">
        <v>542</v>
      </c>
      <c r="T50" s="10">
        <v>38</v>
      </c>
      <c r="U50" s="10">
        <v>62</v>
      </c>
      <c r="V50" s="9">
        <v>59</v>
      </c>
      <c r="W50" s="10">
        <v>5.8</v>
      </c>
      <c r="X50" s="10">
        <v>368.03</v>
      </c>
      <c r="Y50" s="12">
        <v>3500</v>
      </c>
      <c r="Z50" s="9">
        <v>1</v>
      </c>
      <c r="AA50" s="9">
        <v>0.87</v>
      </c>
      <c r="AB50" s="9">
        <v>1</v>
      </c>
      <c r="AC50" s="9">
        <v>0.86499999999999999</v>
      </c>
      <c r="AD50" s="9" t="s">
        <v>63</v>
      </c>
      <c r="AE50" s="9" t="s">
        <v>64</v>
      </c>
    </row>
    <row r="51" spans="1:31" x14ac:dyDescent="0.35">
      <c r="A51" s="16">
        <v>46162</v>
      </c>
      <c r="B51" s="9" t="s">
        <v>68</v>
      </c>
      <c r="C51" s="10">
        <v>8460</v>
      </c>
      <c r="D51" s="10">
        <v>9010</v>
      </c>
      <c r="E51" s="9">
        <v>1.9</v>
      </c>
      <c r="F51" s="10">
        <v>5634</v>
      </c>
      <c r="G51" s="9">
        <v>1169</v>
      </c>
      <c r="H51" s="40">
        <v>4.3499999999999996</v>
      </c>
      <c r="I51" s="12">
        <v>7.23</v>
      </c>
      <c r="J51" s="10">
        <v>33317</v>
      </c>
      <c r="K51" s="10">
        <v>0</v>
      </c>
      <c r="L51" s="10">
        <v>5767</v>
      </c>
      <c r="M51" s="10">
        <v>9020</v>
      </c>
      <c r="N51" s="10">
        <v>2321</v>
      </c>
      <c r="O51" s="10">
        <v>1792</v>
      </c>
      <c r="P51" s="10">
        <v>292</v>
      </c>
      <c r="Q51" s="18">
        <v>385</v>
      </c>
      <c r="R51" s="10">
        <f t="shared" si="0"/>
        <v>168</v>
      </c>
      <c r="S51" s="10">
        <v>553</v>
      </c>
      <c r="T51" s="10">
        <v>39</v>
      </c>
      <c r="U51" s="10">
        <v>61</v>
      </c>
      <c r="V51" s="9">
        <v>59</v>
      </c>
      <c r="W51" s="10">
        <v>5.3</v>
      </c>
      <c r="X51" s="10">
        <v>348.95</v>
      </c>
      <c r="Y51" s="12">
        <v>3144</v>
      </c>
      <c r="Z51" s="9">
        <v>1</v>
      </c>
      <c r="AA51" s="9">
        <v>0.82</v>
      </c>
      <c r="AB51" s="9">
        <v>0.93</v>
      </c>
      <c r="AC51" s="9">
        <v>0.76166999999999996</v>
      </c>
      <c r="AD51" s="9" t="s">
        <v>63</v>
      </c>
      <c r="AE51" s="9" t="s">
        <v>64</v>
      </c>
    </row>
    <row r="52" spans="1:31" x14ac:dyDescent="0.35">
      <c r="A52" s="16">
        <v>46163</v>
      </c>
      <c r="B52" s="9" t="s">
        <v>68</v>
      </c>
      <c r="C52" s="10">
        <v>9105</v>
      </c>
      <c r="D52" s="10">
        <v>9105</v>
      </c>
      <c r="E52" s="9">
        <v>2</v>
      </c>
      <c r="F52" s="10">
        <v>5705</v>
      </c>
      <c r="G52" s="9">
        <v>1146</v>
      </c>
      <c r="H52" s="39">
        <v>4.3</v>
      </c>
      <c r="I52" s="12">
        <v>8.5</v>
      </c>
      <c r="J52" s="10">
        <v>34518</v>
      </c>
      <c r="K52" s="10">
        <v>0</v>
      </c>
      <c r="L52" s="10">
        <v>5626</v>
      </c>
      <c r="M52" s="10">
        <v>9579.4</v>
      </c>
      <c r="N52" s="10">
        <v>2239</v>
      </c>
      <c r="O52" s="10">
        <v>1687</v>
      </c>
      <c r="P52" s="10">
        <v>332</v>
      </c>
      <c r="Q52" s="18">
        <v>381</v>
      </c>
      <c r="R52" s="10">
        <f t="shared" si="0"/>
        <v>167</v>
      </c>
      <c r="S52" s="10">
        <v>548</v>
      </c>
      <c r="T52" s="10">
        <v>37</v>
      </c>
      <c r="U52" s="10">
        <v>63</v>
      </c>
      <c r="V52" s="9">
        <v>57</v>
      </c>
      <c r="W52" s="10">
        <v>5.6</v>
      </c>
      <c r="X52" s="10">
        <v>364.96</v>
      </c>
      <c r="Y52" s="12">
        <v>3323</v>
      </c>
      <c r="Z52" s="9">
        <v>1</v>
      </c>
      <c r="AA52" s="9">
        <v>0.83</v>
      </c>
      <c r="AB52" s="9">
        <v>1</v>
      </c>
      <c r="AC52" s="9">
        <v>0.82799999999999996</v>
      </c>
      <c r="AD52" s="9" t="s">
        <v>63</v>
      </c>
      <c r="AE52" s="9" t="s">
        <v>64</v>
      </c>
    </row>
    <row r="53" spans="1:31" x14ac:dyDescent="0.35">
      <c r="A53" s="16">
        <v>46164</v>
      </c>
      <c r="B53" s="9" t="s">
        <v>68</v>
      </c>
      <c r="C53" s="10">
        <v>9205</v>
      </c>
      <c r="D53" s="10">
        <v>9205</v>
      </c>
      <c r="E53" s="9">
        <v>2</v>
      </c>
      <c r="F53" s="10">
        <v>5833</v>
      </c>
      <c r="G53" s="9">
        <v>1143</v>
      </c>
      <c r="H53" s="40">
        <v>4.4000000000000004</v>
      </c>
      <c r="I53" s="12">
        <v>7.87</v>
      </c>
      <c r="J53" s="10">
        <v>33186</v>
      </c>
      <c r="K53" s="10">
        <v>458</v>
      </c>
      <c r="L53" s="10">
        <v>5797.4</v>
      </c>
      <c r="M53" s="10">
        <v>9001.2999999999993</v>
      </c>
      <c r="N53" s="10">
        <v>2076</v>
      </c>
      <c r="O53" s="10">
        <v>1736</v>
      </c>
      <c r="P53" s="10">
        <v>341</v>
      </c>
      <c r="Q53" s="18">
        <v>382</v>
      </c>
      <c r="R53" s="10">
        <f t="shared" si="0"/>
        <v>165</v>
      </c>
      <c r="S53" s="10">
        <v>547</v>
      </c>
      <c r="T53" s="10">
        <v>38</v>
      </c>
      <c r="U53" s="10">
        <v>59</v>
      </c>
      <c r="V53" s="9">
        <v>58</v>
      </c>
      <c r="W53" s="10">
        <v>5.9</v>
      </c>
      <c r="X53" s="10">
        <v>360.02</v>
      </c>
      <c r="Y53" s="12">
        <v>3314</v>
      </c>
      <c r="Z53" s="9">
        <v>1</v>
      </c>
      <c r="AA53" s="9">
        <v>0.84</v>
      </c>
      <c r="AB53" s="9">
        <v>1</v>
      </c>
      <c r="AC53" s="9">
        <v>0.83699999999999997</v>
      </c>
      <c r="AD53" s="9" t="s">
        <v>63</v>
      </c>
      <c r="AE53" s="9" t="s">
        <v>64</v>
      </c>
    </row>
    <row r="54" spans="1:31" x14ac:dyDescent="0.35">
      <c r="A54" s="16">
        <v>46165</v>
      </c>
      <c r="B54" s="9" t="s">
        <v>68</v>
      </c>
      <c r="C54" s="10">
        <v>8510</v>
      </c>
      <c r="D54" s="10">
        <v>8510</v>
      </c>
      <c r="E54" s="9">
        <v>1.8</v>
      </c>
      <c r="F54" s="10">
        <v>5622</v>
      </c>
      <c r="G54" s="9">
        <v>1140</v>
      </c>
      <c r="H54" s="39">
        <v>4.3600000000000003</v>
      </c>
      <c r="I54" s="12">
        <v>7.98</v>
      </c>
      <c r="J54" s="10">
        <v>32357</v>
      </c>
      <c r="K54" s="10">
        <v>0</v>
      </c>
      <c r="L54" s="10">
        <v>6558.1</v>
      </c>
      <c r="M54" s="10">
        <v>7698.7</v>
      </c>
      <c r="N54" s="10">
        <v>2086</v>
      </c>
      <c r="O54" s="10">
        <v>1605</v>
      </c>
      <c r="P54" s="10">
        <v>241</v>
      </c>
      <c r="Q54" s="18">
        <v>367</v>
      </c>
      <c r="R54" s="10">
        <f t="shared" si="0"/>
        <v>181</v>
      </c>
      <c r="S54" s="10">
        <v>548</v>
      </c>
      <c r="T54" s="10">
        <v>46</v>
      </c>
      <c r="U54" s="10">
        <v>54</v>
      </c>
      <c r="V54" s="9">
        <v>57</v>
      </c>
      <c r="W54" s="10">
        <v>5.6</v>
      </c>
      <c r="X54" s="10">
        <v>380.02</v>
      </c>
      <c r="Y54" s="12">
        <v>3234</v>
      </c>
      <c r="Z54" s="9">
        <v>1</v>
      </c>
      <c r="AA54" s="9">
        <v>0.77</v>
      </c>
      <c r="AB54" s="9">
        <v>0.97</v>
      </c>
      <c r="AC54" s="9">
        <v>0.75078</v>
      </c>
      <c r="AD54" s="9" t="s">
        <v>63</v>
      </c>
      <c r="AE54" s="9" t="s">
        <v>64</v>
      </c>
    </row>
    <row r="55" spans="1:31" x14ac:dyDescent="0.35">
      <c r="A55" s="16">
        <v>46166</v>
      </c>
      <c r="B55" s="9" t="s">
        <v>68</v>
      </c>
      <c r="C55" s="10">
        <v>8010</v>
      </c>
      <c r="D55" s="10">
        <v>8010</v>
      </c>
      <c r="E55" s="9">
        <v>1.7</v>
      </c>
      <c r="F55" s="10">
        <v>5503</v>
      </c>
      <c r="G55" s="9">
        <v>1144</v>
      </c>
      <c r="H55" s="40">
        <v>4.28</v>
      </c>
      <c r="I55" s="12">
        <v>4.9000000000000004</v>
      </c>
      <c r="J55" s="10">
        <v>26785</v>
      </c>
      <c r="K55" s="10">
        <v>0</v>
      </c>
      <c r="L55" s="10">
        <v>7393.2</v>
      </c>
      <c r="M55" s="10">
        <v>6297.9</v>
      </c>
      <c r="N55" s="10">
        <v>2200</v>
      </c>
      <c r="O55" s="10">
        <v>1602</v>
      </c>
      <c r="P55" s="10">
        <v>0</v>
      </c>
      <c r="Q55" s="18">
        <v>367</v>
      </c>
      <c r="R55" s="10">
        <f t="shared" si="0"/>
        <v>176</v>
      </c>
      <c r="S55" s="10">
        <v>543</v>
      </c>
      <c r="T55" s="10">
        <v>54</v>
      </c>
      <c r="U55" s="10">
        <v>46</v>
      </c>
      <c r="V55" s="9">
        <v>56</v>
      </c>
      <c r="W55" s="10">
        <v>5.3</v>
      </c>
      <c r="X55" s="10">
        <v>388.01</v>
      </c>
      <c r="Y55" s="12">
        <v>3108</v>
      </c>
      <c r="Z55" s="9">
        <v>1</v>
      </c>
      <c r="AA55" s="9">
        <v>0.73</v>
      </c>
      <c r="AB55" s="9">
        <v>1</v>
      </c>
      <c r="AC55" s="9">
        <v>0.72799999999999998</v>
      </c>
      <c r="AD55" s="9" t="s">
        <v>63</v>
      </c>
      <c r="AE55" s="9" t="s">
        <v>64</v>
      </c>
    </row>
    <row r="56" spans="1:31" x14ac:dyDescent="0.35">
      <c r="A56" s="16">
        <v>46167</v>
      </c>
      <c r="B56" s="9" t="s">
        <v>68</v>
      </c>
      <c r="C56" s="10">
        <v>8270</v>
      </c>
      <c r="D56" s="10">
        <v>8270</v>
      </c>
      <c r="E56" s="9">
        <v>1.8</v>
      </c>
      <c r="F56" s="10">
        <v>5584</v>
      </c>
      <c r="G56" s="9">
        <v>1127</v>
      </c>
      <c r="H56" s="39">
        <v>4.4000000000000004</v>
      </c>
      <c r="I56" s="12">
        <v>7.04</v>
      </c>
      <c r="J56" s="10">
        <v>26943</v>
      </c>
      <c r="K56" s="10">
        <v>0</v>
      </c>
      <c r="L56" s="10">
        <v>7168.8</v>
      </c>
      <c r="M56" s="10">
        <v>6887.7</v>
      </c>
      <c r="N56" s="10">
        <v>2249</v>
      </c>
      <c r="O56" s="10">
        <v>1644</v>
      </c>
      <c r="P56" s="10">
        <v>136</v>
      </c>
      <c r="Q56" s="18">
        <v>367</v>
      </c>
      <c r="R56" s="10">
        <f t="shared" si="0"/>
        <v>175</v>
      </c>
      <c r="S56" s="10">
        <v>542</v>
      </c>
      <c r="T56" s="10">
        <v>51</v>
      </c>
      <c r="U56" s="10">
        <v>49</v>
      </c>
      <c r="V56" s="9">
        <v>57</v>
      </c>
      <c r="W56" s="10">
        <v>5.3</v>
      </c>
      <c r="X56" s="10">
        <v>381.98</v>
      </c>
      <c r="Y56" s="12">
        <v>3159</v>
      </c>
      <c r="Z56" s="9">
        <v>1</v>
      </c>
      <c r="AA56" s="9">
        <v>0.75</v>
      </c>
      <c r="AB56" s="9">
        <v>1</v>
      </c>
      <c r="AC56" s="9">
        <v>0.752</v>
      </c>
      <c r="AD56" s="9" t="s">
        <v>63</v>
      </c>
      <c r="AE56" s="9" t="s">
        <v>64</v>
      </c>
    </row>
    <row r="57" spans="1:31" x14ac:dyDescent="0.35">
      <c r="A57" s="16">
        <v>46168</v>
      </c>
      <c r="B57" s="9" t="s">
        <v>68</v>
      </c>
      <c r="C57" s="10">
        <v>9130</v>
      </c>
      <c r="D57" s="10">
        <v>9130</v>
      </c>
      <c r="E57" s="9">
        <v>2</v>
      </c>
      <c r="F57" s="10">
        <v>5537</v>
      </c>
      <c r="G57" s="9">
        <v>1125</v>
      </c>
      <c r="H57" s="40">
        <v>4.37</v>
      </c>
      <c r="I57" s="12">
        <v>8.2799999999999994</v>
      </c>
      <c r="J57" s="10">
        <v>33726</v>
      </c>
      <c r="K57" s="10">
        <v>0</v>
      </c>
      <c r="L57" s="10">
        <v>7663.1</v>
      </c>
      <c r="M57" s="10">
        <v>7724.7</v>
      </c>
      <c r="N57" s="10">
        <v>1883</v>
      </c>
      <c r="O57" s="10">
        <v>1794</v>
      </c>
      <c r="P57" s="10">
        <v>139</v>
      </c>
      <c r="Q57" s="18">
        <v>365</v>
      </c>
      <c r="R57" s="10">
        <f t="shared" si="0"/>
        <v>175</v>
      </c>
      <c r="S57" s="10">
        <v>540</v>
      </c>
      <c r="T57" s="10">
        <v>50</v>
      </c>
      <c r="U57" s="10">
        <v>50</v>
      </c>
      <c r="V57" s="9">
        <v>57</v>
      </c>
      <c r="W57" s="10">
        <v>6.6</v>
      </c>
      <c r="X57" s="10">
        <v>372.95</v>
      </c>
      <c r="Y57" s="12">
        <v>3405</v>
      </c>
      <c r="Z57" s="9">
        <v>1</v>
      </c>
      <c r="AA57" s="9">
        <v>0.83</v>
      </c>
      <c r="AB57" s="9">
        <v>1</v>
      </c>
      <c r="AC57" s="9">
        <v>0.83</v>
      </c>
      <c r="AD57" s="9" t="s">
        <v>63</v>
      </c>
      <c r="AE57" s="9" t="s">
        <v>64</v>
      </c>
    </row>
    <row r="58" spans="1:31" x14ac:dyDescent="0.35">
      <c r="A58" s="16">
        <v>46169</v>
      </c>
      <c r="B58" s="9" t="s">
        <v>68</v>
      </c>
      <c r="C58" s="10">
        <v>8910</v>
      </c>
      <c r="D58" s="10">
        <v>8910</v>
      </c>
      <c r="E58" s="9">
        <v>1.9</v>
      </c>
      <c r="F58" s="10">
        <v>5526</v>
      </c>
      <c r="G58" s="9">
        <v>1131</v>
      </c>
      <c r="H58" s="39">
        <v>4.3099999999999996</v>
      </c>
      <c r="I58" s="12">
        <v>7.63</v>
      </c>
      <c r="J58" s="10">
        <v>29718</v>
      </c>
      <c r="K58" s="10">
        <v>0</v>
      </c>
      <c r="L58" s="10">
        <v>7556.1</v>
      </c>
      <c r="M58" s="10">
        <v>7556.1</v>
      </c>
      <c r="N58" s="10">
        <v>2435</v>
      </c>
      <c r="O58" s="10">
        <v>1782</v>
      </c>
      <c r="P58" s="10">
        <v>9</v>
      </c>
      <c r="Q58" s="18">
        <v>363</v>
      </c>
      <c r="R58" s="10">
        <f t="shared" si="0"/>
        <v>178</v>
      </c>
      <c r="S58" s="10">
        <v>541</v>
      </c>
      <c r="T58" s="10">
        <v>50</v>
      </c>
      <c r="U58" s="10">
        <v>50</v>
      </c>
      <c r="V58" s="9">
        <v>57</v>
      </c>
      <c r="W58" s="10">
        <v>5.4</v>
      </c>
      <c r="X58" s="10">
        <v>364.98</v>
      </c>
      <c r="Y58" s="12">
        <v>3252</v>
      </c>
      <c r="Z58" s="9">
        <v>1</v>
      </c>
      <c r="AA58" s="9">
        <v>0.81</v>
      </c>
      <c r="AB58" s="9">
        <v>1</v>
      </c>
      <c r="AC58" s="9">
        <v>0.81</v>
      </c>
      <c r="AD58" s="9" t="s">
        <v>63</v>
      </c>
      <c r="AE58" s="9" t="s">
        <v>64</v>
      </c>
    </row>
    <row r="59" spans="1:31" x14ac:dyDescent="0.35">
      <c r="A59" s="16">
        <v>46170</v>
      </c>
      <c r="B59" s="9" t="s">
        <v>68</v>
      </c>
      <c r="C59" s="10">
        <v>7810</v>
      </c>
      <c r="D59" s="10">
        <v>7810</v>
      </c>
      <c r="E59" s="9">
        <v>1.7</v>
      </c>
      <c r="F59" s="10">
        <v>5372</v>
      </c>
      <c r="G59" s="9">
        <v>1150</v>
      </c>
      <c r="H59" s="40">
        <v>4.09</v>
      </c>
      <c r="I59" s="12">
        <v>6.25</v>
      </c>
      <c r="J59" s="10">
        <v>26022</v>
      </c>
      <c r="K59" s="10">
        <v>0</v>
      </c>
      <c r="L59" s="10">
        <v>5505</v>
      </c>
      <c r="M59" s="10">
        <v>7603</v>
      </c>
      <c r="N59" s="10">
        <v>1999</v>
      </c>
      <c r="O59" s="10">
        <v>1583</v>
      </c>
      <c r="P59" s="10">
        <v>268</v>
      </c>
      <c r="Q59" s="18">
        <v>364</v>
      </c>
      <c r="R59" s="10">
        <f t="shared" si="0"/>
        <v>177</v>
      </c>
      <c r="S59" s="10">
        <v>541</v>
      </c>
      <c r="T59" s="10">
        <v>42</v>
      </c>
      <c r="U59" s="10">
        <v>58</v>
      </c>
      <c r="V59" s="9">
        <v>57</v>
      </c>
      <c r="W59" s="10">
        <v>5.4</v>
      </c>
      <c r="X59" s="10">
        <v>380.03</v>
      </c>
      <c r="Y59" s="12">
        <v>2968</v>
      </c>
      <c r="Z59" s="9">
        <v>1</v>
      </c>
      <c r="AA59" s="9">
        <v>0.71</v>
      </c>
      <c r="AB59" s="9">
        <v>1</v>
      </c>
      <c r="AC59" s="9">
        <v>0.71</v>
      </c>
      <c r="AD59" s="9" t="s">
        <v>63</v>
      </c>
      <c r="AE59" s="9" t="s">
        <v>64</v>
      </c>
    </row>
    <row r="60" spans="1:31" x14ac:dyDescent="0.35">
      <c r="A60" s="16">
        <v>46171</v>
      </c>
      <c r="B60" s="9" t="s">
        <v>68</v>
      </c>
      <c r="C60" s="10">
        <v>7500</v>
      </c>
      <c r="D60" s="10">
        <v>7500</v>
      </c>
      <c r="E60" s="9">
        <v>1.6</v>
      </c>
      <c r="F60" s="10">
        <v>5138</v>
      </c>
      <c r="G60" s="9">
        <v>1170</v>
      </c>
      <c r="H60" s="39">
        <v>3.93</v>
      </c>
      <c r="I60" s="12">
        <v>4.7</v>
      </c>
      <c r="J60" s="10">
        <v>19594</v>
      </c>
      <c r="K60" s="10">
        <v>0</v>
      </c>
      <c r="L60" s="10">
        <v>6115</v>
      </c>
      <c r="M60" s="10">
        <v>6629</v>
      </c>
      <c r="N60" s="10">
        <v>1809</v>
      </c>
      <c r="O60" s="10">
        <v>1536</v>
      </c>
      <c r="P60" s="10">
        <v>60</v>
      </c>
      <c r="Q60" s="18">
        <v>366</v>
      </c>
      <c r="R60" s="10">
        <f t="shared" si="0"/>
        <v>178</v>
      </c>
      <c r="S60" s="10">
        <v>544</v>
      </c>
      <c r="T60" s="10">
        <v>48</v>
      </c>
      <c r="U60" s="10">
        <v>52</v>
      </c>
      <c r="V60" s="9">
        <v>57</v>
      </c>
      <c r="W60" s="10">
        <v>6</v>
      </c>
      <c r="X60" s="10">
        <v>381.07</v>
      </c>
      <c r="Y60" s="12">
        <v>2858</v>
      </c>
      <c r="Z60" s="9">
        <v>1</v>
      </c>
      <c r="AA60" s="9">
        <v>0.68</v>
      </c>
      <c r="AB60" s="9">
        <v>1</v>
      </c>
      <c r="AC60" s="9">
        <v>0.68200000000000005</v>
      </c>
      <c r="AD60" s="9" t="s">
        <v>63</v>
      </c>
      <c r="AE60" s="9" t="s">
        <v>64</v>
      </c>
    </row>
    <row r="61" spans="1:31" x14ac:dyDescent="0.35">
      <c r="A61" s="16">
        <v>46172</v>
      </c>
      <c r="B61" s="9" t="s">
        <v>68</v>
      </c>
      <c r="C61" s="10">
        <v>9100</v>
      </c>
      <c r="D61" s="10">
        <v>9100</v>
      </c>
      <c r="E61" s="9">
        <v>2</v>
      </c>
      <c r="F61" s="10">
        <v>5679</v>
      </c>
      <c r="G61" s="9">
        <v>1139</v>
      </c>
      <c r="H61" s="40">
        <v>4.3899999999999997</v>
      </c>
      <c r="I61" s="12">
        <v>8.68</v>
      </c>
      <c r="J61" s="10">
        <v>36160</v>
      </c>
      <c r="K61" s="10">
        <v>0</v>
      </c>
      <c r="L61" s="10">
        <v>7424</v>
      </c>
      <c r="M61" s="10">
        <v>8040</v>
      </c>
      <c r="N61" s="10">
        <v>2866</v>
      </c>
      <c r="O61" s="10">
        <v>1852</v>
      </c>
      <c r="P61" s="10">
        <v>87</v>
      </c>
      <c r="Q61" s="18">
        <v>367</v>
      </c>
      <c r="R61" s="10">
        <f t="shared" si="0"/>
        <v>178</v>
      </c>
      <c r="S61" s="10">
        <v>545</v>
      </c>
      <c r="T61" s="10">
        <v>48</v>
      </c>
      <c r="U61" s="10">
        <v>52</v>
      </c>
      <c r="V61" s="9">
        <v>57</v>
      </c>
      <c r="W61" s="10">
        <v>4.8</v>
      </c>
      <c r="X61" s="10">
        <v>378.02</v>
      </c>
      <c r="Y61" s="12">
        <v>3440</v>
      </c>
      <c r="Z61" s="9">
        <v>1</v>
      </c>
      <c r="AA61" s="9">
        <v>0.83</v>
      </c>
      <c r="AB61" s="9">
        <v>1</v>
      </c>
      <c r="AC61" s="9">
        <v>0.82699999999999996</v>
      </c>
      <c r="AD61" s="9" t="s">
        <v>63</v>
      </c>
      <c r="AE61" s="9" t="s">
        <v>64</v>
      </c>
    </row>
    <row r="62" spans="1:31" x14ac:dyDescent="0.35">
      <c r="A62" s="16">
        <v>46173</v>
      </c>
      <c r="B62" s="9" t="s">
        <v>68</v>
      </c>
      <c r="C62" s="10">
        <v>9610</v>
      </c>
      <c r="D62" s="10">
        <v>9610</v>
      </c>
      <c r="E62" s="9">
        <v>2.1</v>
      </c>
      <c r="F62" s="10">
        <v>5758</v>
      </c>
      <c r="G62" s="9">
        <v>1143</v>
      </c>
      <c r="H62" s="39">
        <v>4.37</v>
      </c>
      <c r="I62" s="12">
        <v>9.35</v>
      </c>
      <c r="J62" s="10">
        <v>37793</v>
      </c>
      <c r="K62" s="10">
        <v>0</v>
      </c>
      <c r="L62" s="10">
        <v>7982</v>
      </c>
      <c r="M62" s="10">
        <v>8307</v>
      </c>
      <c r="N62" s="10">
        <v>2755</v>
      </c>
      <c r="O62" s="10">
        <v>1940</v>
      </c>
      <c r="P62" s="10">
        <v>0</v>
      </c>
      <c r="Q62" s="10">
        <v>307</v>
      </c>
      <c r="R62" s="10">
        <f t="shared" si="0"/>
        <v>238</v>
      </c>
      <c r="S62" s="10">
        <v>545</v>
      </c>
      <c r="T62" s="10">
        <v>49</v>
      </c>
      <c r="U62" s="10">
        <v>51</v>
      </c>
      <c r="V62" s="9">
        <v>57</v>
      </c>
      <c r="W62" s="10">
        <v>5.0999999999999996</v>
      </c>
      <c r="X62" s="10">
        <v>388.03</v>
      </c>
      <c r="Y62" s="12">
        <v>3729</v>
      </c>
      <c r="Z62" s="9">
        <v>1</v>
      </c>
      <c r="AA62" s="9">
        <v>0.87</v>
      </c>
      <c r="AB62" s="9">
        <v>1</v>
      </c>
      <c r="AC62" s="9">
        <v>0.874</v>
      </c>
      <c r="AD62" s="9" t="s">
        <v>63</v>
      </c>
      <c r="AE62" s="9" t="s">
        <v>64</v>
      </c>
    </row>
    <row r="63" spans="1:31" x14ac:dyDescent="0.35">
      <c r="A63" s="55">
        <v>46174</v>
      </c>
      <c r="B63" s="44" t="s">
        <v>135</v>
      </c>
      <c r="C63" s="44">
        <v>10000</v>
      </c>
      <c r="D63" s="44">
        <v>9500</v>
      </c>
      <c r="E63" s="44"/>
      <c r="F63" s="44"/>
      <c r="G63" s="44"/>
      <c r="H63" s="56"/>
      <c r="I63" s="44"/>
      <c r="J63" s="44"/>
      <c r="K63" s="44"/>
      <c r="L63" s="44"/>
      <c r="M63" s="44"/>
      <c r="N63" s="44"/>
      <c r="O63" s="44"/>
      <c r="P63" s="44"/>
      <c r="Q63" s="57"/>
      <c r="R63" s="59">
        <f>S63-Q63</f>
        <v>0</v>
      </c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58"/>
    </row>
  </sheetData>
  <phoneticPr fontId="1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62"/>
  <sheetViews>
    <sheetView showGridLines="0" zoomScale="40" zoomScaleNormal="40" workbookViewId="0">
      <pane xSplit="1" ySplit="1" topLeftCell="B2" activePane="bottomRight" state="frozen"/>
      <selection pane="topRight"/>
      <selection pane="bottomLeft"/>
      <selection pane="bottomRight" activeCell="Q8" sqref="Q8"/>
    </sheetView>
  </sheetViews>
  <sheetFormatPr defaultRowHeight="14.5" x14ac:dyDescent="0.35"/>
  <cols>
    <col min="1" max="1" width="12" style="8" customWidth="1"/>
    <col min="2" max="2" width="13" style="8" customWidth="1"/>
    <col min="3" max="3" width="19" style="8" customWidth="1"/>
    <col min="4" max="4" width="19.26953125" style="8" bestFit="1" customWidth="1"/>
    <col min="5" max="5" width="21.26953125" style="8" bestFit="1" customWidth="1"/>
    <col min="6" max="6" width="18.26953125" style="8" bestFit="1" customWidth="1"/>
    <col min="7" max="7" width="17.54296875" style="8" bestFit="1" customWidth="1"/>
    <col min="8" max="8" width="19.54296875" style="8" bestFit="1" customWidth="1"/>
    <col min="9" max="9" width="19.81640625" style="8" bestFit="1" customWidth="1"/>
    <col min="10" max="10" width="18.08984375" style="8" bestFit="1" customWidth="1"/>
    <col min="11" max="12" width="13" style="8" customWidth="1"/>
    <col min="13" max="13" width="17" style="8" customWidth="1"/>
    <col min="14" max="14" width="13" style="8" customWidth="1"/>
    <col min="15" max="16" width="12" style="8" bestFit="1" customWidth="1"/>
    <col min="17" max="16384" width="8.7265625" style="8"/>
  </cols>
  <sheetData>
    <row r="1" spans="1:16" ht="42" customHeight="1" x14ac:dyDescent="0.35">
      <c r="A1" s="7" t="s">
        <v>33</v>
      </c>
      <c r="B1" s="7" t="s">
        <v>69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75</v>
      </c>
      <c r="I1" s="7" t="s">
        <v>76</v>
      </c>
      <c r="J1" s="7" t="s">
        <v>77</v>
      </c>
      <c r="K1" s="7" t="s">
        <v>78</v>
      </c>
      <c r="L1" s="7" t="s">
        <v>79</v>
      </c>
      <c r="M1" s="7" t="s">
        <v>80</v>
      </c>
      <c r="N1" s="7" t="s">
        <v>81</v>
      </c>
      <c r="O1" s="7" t="s">
        <v>127</v>
      </c>
      <c r="P1" s="7" t="s">
        <v>128</v>
      </c>
    </row>
    <row r="2" spans="1:16" x14ac:dyDescent="0.35">
      <c r="A2" s="16">
        <v>46113</v>
      </c>
      <c r="B2" s="12">
        <v>2.54</v>
      </c>
      <c r="C2" s="12">
        <v>52.56</v>
      </c>
      <c r="D2" s="12">
        <v>8.81</v>
      </c>
      <c r="E2" s="10">
        <v>2.91</v>
      </c>
      <c r="F2" s="10">
        <v>20.73</v>
      </c>
      <c r="G2" s="12">
        <v>2.23</v>
      </c>
      <c r="H2" s="12">
        <v>1.32</v>
      </c>
      <c r="I2" s="12">
        <v>0.31</v>
      </c>
      <c r="J2" s="10">
        <v>250.33</v>
      </c>
      <c r="K2" s="12">
        <v>0.96</v>
      </c>
      <c r="L2" s="12">
        <v>13.4</v>
      </c>
      <c r="M2" s="12">
        <v>1.43</v>
      </c>
      <c r="N2" s="10">
        <v>50.38</v>
      </c>
      <c r="O2" s="17">
        <v>5.08</v>
      </c>
      <c r="P2" s="17">
        <v>87.68</v>
      </c>
    </row>
    <row r="3" spans="1:16" x14ac:dyDescent="0.35">
      <c r="A3" s="16">
        <v>46114</v>
      </c>
      <c r="B3" s="12">
        <v>2.6</v>
      </c>
      <c r="C3" s="12">
        <v>52.86</v>
      </c>
      <c r="D3" s="12">
        <v>8.83</v>
      </c>
      <c r="E3" s="10">
        <v>2.76</v>
      </c>
      <c r="F3" s="10">
        <v>22.91</v>
      </c>
      <c r="G3" s="12">
        <v>2.19</v>
      </c>
      <c r="H3" s="12">
        <v>1.22</v>
      </c>
      <c r="I3" s="12">
        <v>0.22</v>
      </c>
      <c r="J3" s="10">
        <v>253</v>
      </c>
      <c r="K3" s="12">
        <v>0.93</v>
      </c>
      <c r="L3" s="12">
        <v>13.22</v>
      </c>
      <c r="M3" s="12">
        <v>1.8</v>
      </c>
      <c r="N3" s="10">
        <v>25.96</v>
      </c>
      <c r="O3" s="17">
        <v>5.36</v>
      </c>
      <c r="P3" s="17">
        <v>87.82</v>
      </c>
    </row>
    <row r="4" spans="1:16" x14ac:dyDescent="0.35">
      <c r="A4" s="16">
        <v>46115</v>
      </c>
      <c r="B4" s="12">
        <v>2.65</v>
      </c>
      <c r="C4" s="12">
        <v>52.65</v>
      </c>
      <c r="D4" s="12">
        <v>8.8000000000000007</v>
      </c>
      <c r="E4" s="10">
        <v>2.8</v>
      </c>
      <c r="F4" s="10">
        <v>18.78</v>
      </c>
      <c r="G4" s="12">
        <v>2.27</v>
      </c>
      <c r="H4" s="12">
        <v>1.19</v>
      </c>
      <c r="I4" s="12">
        <v>0.17</v>
      </c>
      <c r="J4" s="10">
        <v>257.67</v>
      </c>
      <c r="K4" s="12">
        <v>0.96</v>
      </c>
      <c r="L4" s="12">
        <v>13.17</v>
      </c>
      <c r="M4" s="12">
        <v>2.77</v>
      </c>
      <c r="N4" s="10">
        <v>50.84</v>
      </c>
      <c r="O4" s="17">
        <v>4.99</v>
      </c>
      <c r="P4" s="17">
        <v>88.52</v>
      </c>
    </row>
    <row r="5" spans="1:16" x14ac:dyDescent="0.35">
      <c r="A5" s="16">
        <v>46116</v>
      </c>
      <c r="B5" s="12">
        <v>2.67</v>
      </c>
      <c r="C5" s="12">
        <v>53.15</v>
      </c>
      <c r="D5" s="12">
        <v>8.75</v>
      </c>
      <c r="E5" s="10">
        <v>2.79</v>
      </c>
      <c r="F5" s="10">
        <v>9.43</v>
      </c>
      <c r="G5" s="12">
        <v>2.96</v>
      </c>
      <c r="H5" s="12">
        <v>1.71</v>
      </c>
      <c r="I5" s="12">
        <v>0.67</v>
      </c>
      <c r="J5" s="10">
        <v>223</v>
      </c>
      <c r="K5" s="12">
        <v>0.99</v>
      </c>
      <c r="L5" s="12">
        <v>13.41</v>
      </c>
      <c r="M5" s="12">
        <v>2.4</v>
      </c>
      <c r="N5" s="10">
        <v>48.73</v>
      </c>
      <c r="O5" s="17">
        <v>0</v>
      </c>
      <c r="P5" s="17">
        <v>0</v>
      </c>
    </row>
    <row r="6" spans="1:16" x14ac:dyDescent="0.35">
      <c r="A6" s="16">
        <v>46117</v>
      </c>
      <c r="B6" s="12">
        <v>2.68</v>
      </c>
      <c r="C6" s="12">
        <v>52.4</v>
      </c>
      <c r="D6" s="12">
        <v>8.82</v>
      </c>
      <c r="E6" s="10">
        <v>2.72</v>
      </c>
      <c r="F6" s="10">
        <v>0</v>
      </c>
      <c r="G6" s="12">
        <v>3.89</v>
      </c>
      <c r="H6" s="12">
        <v>2.19</v>
      </c>
      <c r="I6" s="12">
        <v>1.02</v>
      </c>
      <c r="J6" s="10">
        <v>228</v>
      </c>
      <c r="K6" s="12">
        <v>1.01</v>
      </c>
      <c r="L6" s="12">
        <v>13.29</v>
      </c>
      <c r="M6" s="12">
        <v>2.15</v>
      </c>
      <c r="N6" s="10">
        <v>25.22</v>
      </c>
      <c r="O6" s="17">
        <v>0</v>
      </c>
      <c r="P6" s="17">
        <v>0</v>
      </c>
    </row>
    <row r="7" spans="1:16" x14ac:dyDescent="0.35">
      <c r="A7" s="16">
        <v>46118</v>
      </c>
      <c r="B7" s="12">
        <v>2.65</v>
      </c>
      <c r="C7" s="12">
        <v>52.52</v>
      </c>
      <c r="D7" s="12">
        <v>8.83</v>
      </c>
      <c r="E7" s="10">
        <v>2.61</v>
      </c>
      <c r="F7" s="10">
        <v>18.46</v>
      </c>
      <c r="G7" s="12">
        <v>3.34</v>
      </c>
      <c r="H7" s="12">
        <v>1.68</v>
      </c>
      <c r="I7" s="12">
        <v>0.87</v>
      </c>
      <c r="J7" s="10">
        <v>207</v>
      </c>
      <c r="K7" s="12">
        <v>1.08</v>
      </c>
      <c r="L7" s="12">
        <v>12.93</v>
      </c>
      <c r="M7" s="12">
        <v>1.4</v>
      </c>
      <c r="N7" s="10">
        <v>51.4</v>
      </c>
      <c r="O7" s="17">
        <v>0</v>
      </c>
      <c r="P7" s="17">
        <v>0</v>
      </c>
    </row>
    <row r="8" spans="1:16" x14ac:dyDescent="0.35">
      <c r="A8" s="16">
        <v>46119</v>
      </c>
      <c r="B8" s="9"/>
      <c r="C8" s="9"/>
      <c r="D8" s="9"/>
      <c r="E8" s="9"/>
      <c r="F8" s="9"/>
      <c r="G8" s="9"/>
      <c r="H8" s="9"/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17">
        <v>5.46</v>
      </c>
      <c r="P8" s="17">
        <v>87.76</v>
      </c>
    </row>
    <row r="9" spans="1:16" x14ac:dyDescent="0.35">
      <c r="A9" s="16">
        <v>46120</v>
      </c>
      <c r="B9" s="12">
        <v>2.67</v>
      </c>
      <c r="C9" s="12">
        <v>52.33</v>
      </c>
      <c r="D9" s="12">
        <v>8.81</v>
      </c>
      <c r="E9" s="10">
        <v>2.71</v>
      </c>
      <c r="F9" s="10">
        <v>19.170000000000002</v>
      </c>
      <c r="G9" s="12">
        <v>3.13</v>
      </c>
      <c r="H9" s="12">
        <v>1.63</v>
      </c>
      <c r="I9" s="12">
        <v>0.65</v>
      </c>
      <c r="J9" s="10">
        <v>222.67</v>
      </c>
      <c r="K9" s="12">
        <v>1.06</v>
      </c>
      <c r="L9" s="12">
        <v>13.41</v>
      </c>
      <c r="M9" s="12">
        <v>1.47</v>
      </c>
      <c r="N9" s="10">
        <v>49.69</v>
      </c>
      <c r="O9" s="17">
        <v>0</v>
      </c>
      <c r="P9" s="17">
        <v>0</v>
      </c>
    </row>
    <row r="10" spans="1:16" x14ac:dyDescent="0.35">
      <c r="A10" s="16">
        <v>46121</v>
      </c>
      <c r="B10" s="12">
        <v>2.54</v>
      </c>
      <c r="C10" s="12">
        <v>52.71</v>
      </c>
      <c r="D10" s="12">
        <v>8.82</v>
      </c>
      <c r="E10" s="10">
        <v>2.7</v>
      </c>
      <c r="F10" s="10">
        <v>19.38</v>
      </c>
      <c r="G10" s="12">
        <v>2.48</v>
      </c>
      <c r="H10" s="12">
        <v>1.55</v>
      </c>
      <c r="I10" s="12">
        <v>0.32</v>
      </c>
      <c r="J10" s="10">
        <v>262.33</v>
      </c>
      <c r="K10" s="12">
        <v>1.08</v>
      </c>
      <c r="L10" s="12">
        <v>13.15</v>
      </c>
      <c r="M10" s="12">
        <v>1.6</v>
      </c>
      <c r="N10" s="10">
        <v>50.61</v>
      </c>
      <c r="O10" s="17">
        <v>5.26</v>
      </c>
      <c r="P10" s="17">
        <v>88.03</v>
      </c>
    </row>
    <row r="11" spans="1:16" x14ac:dyDescent="0.35">
      <c r="A11" s="16">
        <v>46122</v>
      </c>
      <c r="B11" s="12">
        <v>2.7</v>
      </c>
      <c r="C11" s="12">
        <v>53.03</v>
      </c>
      <c r="D11" s="12">
        <v>8.82</v>
      </c>
      <c r="E11" s="10">
        <v>2.67</v>
      </c>
      <c r="F11" s="10">
        <v>18.11</v>
      </c>
      <c r="G11" s="12">
        <v>2.33</v>
      </c>
      <c r="H11" s="12">
        <v>1.0900000000000001</v>
      </c>
      <c r="I11" s="12">
        <v>0.16</v>
      </c>
      <c r="J11" s="10">
        <v>257.67</v>
      </c>
      <c r="K11" s="12">
        <v>1.1100000000000001</v>
      </c>
      <c r="L11" s="12">
        <v>13.25</v>
      </c>
      <c r="M11" s="12">
        <v>1.4</v>
      </c>
      <c r="N11" s="10">
        <v>49.65</v>
      </c>
      <c r="O11" s="17">
        <v>5.38</v>
      </c>
      <c r="P11" s="17">
        <v>87.99</v>
      </c>
    </row>
    <row r="12" spans="1:16" x14ac:dyDescent="0.35">
      <c r="A12" s="16">
        <v>46123</v>
      </c>
      <c r="B12" s="12">
        <v>2.67</v>
      </c>
      <c r="C12" s="12">
        <v>53.37</v>
      </c>
      <c r="D12" s="12">
        <v>8.82</v>
      </c>
      <c r="E12" s="10">
        <v>2.64</v>
      </c>
      <c r="F12" s="10">
        <v>20.059999999999999</v>
      </c>
      <c r="G12" s="12">
        <v>2.79</v>
      </c>
      <c r="H12" s="12">
        <v>1.81</v>
      </c>
      <c r="I12" s="12">
        <v>0.71</v>
      </c>
      <c r="J12" s="10">
        <v>231</v>
      </c>
      <c r="K12" s="12">
        <v>1.1200000000000001</v>
      </c>
      <c r="L12" s="12">
        <v>13.34</v>
      </c>
      <c r="M12" s="12">
        <v>2.23</v>
      </c>
      <c r="N12" s="10">
        <v>33.880000000000003</v>
      </c>
      <c r="O12" s="17">
        <v>5.15</v>
      </c>
      <c r="P12" s="17">
        <v>87.84</v>
      </c>
    </row>
    <row r="13" spans="1:16" x14ac:dyDescent="0.35">
      <c r="A13" s="16">
        <v>46124</v>
      </c>
      <c r="B13" s="12">
        <v>2.75</v>
      </c>
      <c r="C13" s="12">
        <v>53.28</v>
      </c>
      <c r="D13" s="12">
        <v>8.8800000000000008</v>
      </c>
      <c r="E13" s="10">
        <v>2.63</v>
      </c>
      <c r="F13" s="10">
        <v>18.32</v>
      </c>
      <c r="G13" s="12">
        <v>2.74</v>
      </c>
      <c r="H13" s="12">
        <v>1.68</v>
      </c>
      <c r="I13" s="12">
        <v>0.72</v>
      </c>
      <c r="J13" s="10">
        <v>230.33</v>
      </c>
      <c r="K13" s="12">
        <v>1.0900000000000001</v>
      </c>
      <c r="L13" s="12">
        <v>13.08</v>
      </c>
      <c r="M13" s="12">
        <v>1.47</v>
      </c>
      <c r="N13" s="10">
        <v>33.79</v>
      </c>
      <c r="O13" s="17">
        <v>5.23</v>
      </c>
      <c r="P13" s="17">
        <v>88.08</v>
      </c>
    </row>
    <row r="14" spans="1:16" x14ac:dyDescent="0.35">
      <c r="A14" s="16">
        <v>46125</v>
      </c>
      <c r="B14" s="12">
        <v>2.63</v>
      </c>
      <c r="C14" s="12">
        <v>52.29</v>
      </c>
      <c r="D14" s="12">
        <v>8.93</v>
      </c>
      <c r="E14" s="10">
        <v>2.62</v>
      </c>
      <c r="F14" s="10">
        <v>20.51</v>
      </c>
      <c r="G14" s="12">
        <v>2.46</v>
      </c>
      <c r="H14" s="12">
        <v>2.0499999999999998</v>
      </c>
      <c r="I14" s="12">
        <v>0.75</v>
      </c>
      <c r="J14" s="10">
        <v>238</v>
      </c>
      <c r="K14" s="12">
        <v>1</v>
      </c>
      <c r="L14" s="12">
        <v>13.02</v>
      </c>
      <c r="M14" s="12">
        <v>1.33</v>
      </c>
      <c r="N14" s="10">
        <v>33.86</v>
      </c>
      <c r="O14" s="17">
        <v>5.28</v>
      </c>
      <c r="P14" s="17">
        <v>87.93</v>
      </c>
    </row>
    <row r="15" spans="1:16" x14ac:dyDescent="0.35">
      <c r="A15" s="16">
        <v>46126</v>
      </c>
      <c r="B15" s="12">
        <v>2.58</v>
      </c>
      <c r="C15" s="12">
        <v>52.62</v>
      </c>
      <c r="D15" s="12">
        <v>8.89</v>
      </c>
      <c r="E15" s="10">
        <v>2.4900000000000002</v>
      </c>
      <c r="F15" s="10">
        <v>14.13</v>
      </c>
      <c r="G15" s="12">
        <v>2.79</v>
      </c>
      <c r="H15" s="12">
        <v>1.93</v>
      </c>
      <c r="I15" s="12">
        <v>0.88</v>
      </c>
      <c r="J15" s="10">
        <v>158</v>
      </c>
      <c r="K15" s="12">
        <v>1.1200000000000001</v>
      </c>
      <c r="L15" s="12">
        <v>13.27</v>
      </c>
      <c r="M15" s="12">
        <v>1.3</v>
      </c>
      <c r="N15" s="10">
        <v>34.35</v>
      </c>
      <c r="O15" s="17">
        <v>5.33</v>
      </c>
      <c r="P15" s="17">
        <v>87.84</v>
      </c>
    </row>
    <row r="16" spans="1:16" x14ac:dyDescent="0.35">
      <c r="A16" s="16">
        <v>46127</v>
      </c>
      <c r="B16" s="12">
        <v>2.78</v>
      </c>
      <c r="C16" s="12">
        <v>53.04</v>
      </c>
      <c r="D16" s="12">
        <v>8.7899999999999991</v>
      </c>
      <c r="E16" s="10">
        <v>2.57</v>
      </c>
      <c r="F16" s="10">
        <v>20.16</v>
      </c>
      <c r="G16" s="12">
        <v>3.27</v>
      </c>
      <c r="H16" s="12">
        <v>1.93</v>
      </c>
      <c r="I16" s="12">
        <v>0.91</v>
      </c>
      <c r="J16" s="10">
        <v>121.33</v>
      </c>
      <c r="K16" s="12">
        <v>0.98</v>
      </c>
      <c r="L16" s="12">
        <v>13.09</v>
      </c>
      <c r="M16" s="12">
        <v>2.23</v>
      </c>
      <c r="N16" s="10">
        <v>34.01</v>
      </c>
      <c r="O16" s="17">
        <v>5.17</v>
      </c>
      <c r="P16" s="17">
        <v>87.83</v>
      </c>
    </row>
    <row r="17" spans="1:16" x14ac:dyDescent="0.35">
      <c r="A17" s="16">
        <v>46128</v>
      </c>
      <c r="B17" s="12">
        <v>2.84</v>
      </c>
      <c r="C17" s="12">
        <v>52.4</v>
      </c>
      <c r="D17" s="12">
        <v>8.89</v>
      </c>
      <c r="E17" s="10">
        <v>2.5299999999999998</v>
      </c>
      <c r="F17" s="10">
        <v>18.809999999999999</v>
      </c>
      <c r="G17" s="12">
        <v>2.62</v>
      </c>
      <c r="H17" s="12">
        <v>1.79</v>
      </c>
      <c r="I17" s="12">
        <v>0.79</v>
      </c>
      <c r="J17" s="10">
        <v>251.33</v>
      </c>
      <c r="K17" s="12">
        <v>1.06</v>
      </c>
      <c r="L17" s="12">
        <v>13.01</v>
      </c>
      <c r="M17" s="12">
        <v>1.63</v>
      </c>
      <c r="N17" s="10">
        <v>48.96</v>
      </c>
      <c r="O17" s="17">
        <v>0</v>
      </c>
      <c r="P17" s="17">
        <v>0</v>
      </c>
    </row>
    <row r="18" spans="1:16" x14ac:dyDescent="0.35">
      <c r="A18" s="16">
        <v>46129</v>
      </c>
      <c r="B18" s="12">
        <v>2.71</v>
      </c>
      <c r="C18" s="12">
        <v>52.16</v>
      </c>
      <c r="D18" s="12">
        <v>8.84</v>
      </c>
      <c r="E18" s="10">
        <v>2.69</v>
      </c>
      <c r="F18" s="10">
        <v>12.87</v>
      </c>
      <c r="G18" s="12">
        <v>2.87</v>
      </c>
      <c r="H18" s="12">
        <v>2.04</v>
      </c>
      <c r="I18" s="12">
        <v>0.67</v>
      </c>
      <c r="J18" s="10">
        <v>229</v>
      </c>
      <c r="K18" s="12">
        <v>0.94</v>
      </c>
      <c r="L18" s="12">
        <v>13.25</v>
      </c>
      <c r="M18" s="12">
        <v>1.87</v>
      </c>
      <c r="N18" s="10">
        <v>51.22</v>
      </c>
      <c r="O18" s="17">
        <v>0</v>
      </c>
      <c r="P18" s="17">
        <v>0</v>
      </c>
    </row>
    <row r="19" spans="1:16" x14ac:dyDescent="0.35">
      <c r="A19" s="16">
        <v>46130</v>
      </c>
      <c r="B19" s="12">
        <v>2.59</v>
      </c>
      <c r="C19" s="12">
        <v>52.61</v>
      </c>
      <c r="D19" s="12">
        <v>8.8699999999999992</v>
      </c>
      <c r="E19" s="10">
        <v>2.73</v>
      </c>
      <c r="F19" s="10">
        <v>5.99</v>
      </c>
      <c r="G19" s="12">
        <v>3.21</v>
      </c>
      <c r="H19" s="12">
        <v>1.92</v>
      </c>
      <c r="I19" s="12">
        <v>0.76</v>
      </c>
      <c r="J19" s="10">
        <v>214.33</v>
      </c>
      <c r="K19" s="12">
        <v>1</v>
      </c>
      <c r="L19" s="12">
        <v>13.08</v>
      </c>
      <c r="M19" s="12">
        <v>1.53</v>
      </c>
      <c r="N19" s="10">
        <v>32.44</v>
      </c>
      <c r="O19" s="17">
        <v>5.22</v>
      </c>
      <c r="P19" s="17">
        <v>87.95</v>
      </c>
    </row>
    <row r="20" spans="1:16" x14ac:dyDescent="0.35">
      <c r="A20" s="16">
        <v>46131</v>
      </c>
      <c r="B20" s="12">
        <v>2.72</v>
      </c>
      <c r="C20" s="12">
        <v>52.89</v>
      </c>
      <c r="D20" s="12">
        <v>8.83</v>
      </c>
      <c r="E20" s="10">
        <v>2.56</v>
      </c>
      <c r="F20" s="10">
        <v>17.93</v>
      </c>
      <c r="G20" s="12">
        <v>3.34</v>
      </c>
      <c r="H20" s="12">
        <v>2.13</v>
      </c>
      <c r="I20" s="12">
        <v>0.86</v>
      </c>
      <c r="J20" s="10">
        <v>202.33</v>
      </c>
      <c r="K20" s="12">
        <v>1.03</v>
      </c>
      <c r="L20" s="12">
        <v>13.22</v>
      </c>
      <c r="M20" s="12">
        <v>2.13</v>
      </c>
      <c r="N20" s="10">
        <v>33.450000000000003</v>
      </c>
      <c r="O20" s="17">
        <v>0</v>
      </c>
      <c r="P20" s="17">
        <v>0</v>
      </c>
    </row>
    <row r="21" spans="1:16" x14ac:dyDescent="0.35">
      <c r="A21" s="16">
        <v>46132</v>
      </c>
      <c r="B21" s="12">
        <v>2.68</v>
      </c>
      <c r="C21" s="12">
        <v>52.76</v>
      </c>
      <c r="D21" s="12">
        <v>8.83</v>
      </c>
      <c r="E21" s="10">
        <v>2.67</v>
      </c>
      <c r="F21" s="10">
        <v>12.78</v>
      </c>
      <c r="G21" s="12">
        <v>3.38</v>
      </c>
      <c r="H21" s="12">
        <v>1.76</v>
      </c>
      <c r="I21" s="12">
        <v>0.72</v>
      </c>
      <c r="J21" s="10">
        <v>208.67</v>
      </c>
      <c r="K21" s="12">
        <v>1.01</v>
      </c>
      <c r="L21" s="12">
        <v>13.06</v>
      </c>
      <c r="M21" s="12">
        <v>1.83</v>
      </c>
      <c r="N21" s="10">
        <v>50.45</v>
      </c>
      <c r="O21" s="17">
        <v>5.08</v>
      </c>
      <c r="P21" s="17">
        <v>87.68</v>
      </c>
    </row>
    <row r="22" spans="1:16" x14ac:dyDescent="0.35">
      <c r="A22" s="16">
        <v>46133</v>
      </c>
      <c r="B22" s="12">
        <v>2.7</v>
      </c>
      <c r="C22" s="12">
        <v>52.33</v>
      </c>
      <c r="D22" s="12">
        <v>8.82</v>
      </c>
      <c r="E22" s="10">
        <v>2.59</v>
      </c>
      <c r="F22" s="10">
        <v>17.149999999999999</v>
      </c>
      <c r="G22" s="12">
        <v>2.4700000000000002</v>
      </c>
      <c r="H22" s="12">
        <v>1.53</v>
      </c>
      <c r="I22" s="12">
        <v>0.73</v>
      </c>
      <c r="J22" s="10">
        <v>251</v>
      </c>
      <c r="K22" s="12">
        <v>0.97</v>
      </c>
      <c r="L22" s="12">
        <v>13.19</v>
      </c>
      <c r="M22" s="12">
        <v>1.1000000000000001</v>
      </c>
      <c r="N22" s="10">
        <v>51.59</v>
      </c>
      <c r="O22" s="17">
        <v>5.08</v>
      </c>
      <c r="P22" s="17">
        <v>87.68</v>
      </c>
    </row>
    <row r="23" spans="1:16" x14ac:dyDescent="0.35">
      <c r="A23" s="16">
        <v>46134</v>
      </c>
      <c r="B23" s="12">
        <v>2.67</v>
      </c>
      <c r="C23" s="12">
        <v>52.3</v>
      </c>
      <c r="D23" s="12">
        <v>8.82</v>
      </c>
      <c r="E23" s="10">
        <v>2.9</v>
      </c>
      <c r="F23" s="10">
        <v>19.190000000000001</v>
      </c>
      <c r="G23" s="12">
        <v>2.67</v>
      </c>
      <c r="H23" s="12">
        <v>1.29</v>
      </c>
      <c r="I23" s="12">
        <v>0.43</v>
      </c>
      <c r="J23" s="10">
        <v>244</v>
      </c>
      <c r="K23" s="12">
        <v>0.97</v>
      </c>
      <c r="L23" s="12">
        <v>13.12</v>
      </c>
      <c r="M23" s="12">
        <v>0.97</v>
      </c>
      <c r="N23" s="10">
        <v>50.21</v>
      </c>
      <c r="O23" s="17">
        <v>5.08</v>
      </c>
      <c r="P23" s="17">
        <v>87.68</v>
      </c>
    </row>
    <row r="24" spans="1:16" x14ac:dyDescent="0.35">
      <c r="A24" s="16">
        <v>46135</v>
      </c>
      <c r="B24" s="12">
        <v>2.78</v>
      </c>
      <c r="C24" s="12">
        <v>52.82</v>
      </c>
      <c r="D24" s="12">
        <v>8.33</v>
      </c>
      <c r="E24" s="10">
        <v>2.68</v>
      </c>
      <c r="F24" s="10">
        <v>18.87</v>
      </c>
      <c r="G24" s="12">
        <v>2.9</v>
      </c>
      <c r="H24" s="12">
        <v>1.59</v>
      </c>
      <c r="I24" s="12">
        <v>0.56000000000000005</v>
      </c>
      <c r="J24" s="10">
        <v>229.5</v>
      </c>
      <c r="K24" s="12">
        <v>0.9</v>
      </c>
      <c r="L24" s="12">
        <v>13.11</v>
      </c>
      <c r="M24" s="12">
        <v>0.9</v>
      </c>
      <c r="N24" s="10">
        <v>49.77</v>
      </c>
      <c r="O24" s="17">
        <v>5.08</v>
      </c>
      <c r="P24" s="17">
        <v>87.68</v>
      </c>
    </row>
    <row r="25" spans="1:16" x14ac:dyDescent="0.35">
      <c r="A25" s="16">
        <v>46136</v>
      </c>
      <c r="B25" s="12">
        <v>2.9</v>
      </c>
      <c r="C25" s="12">
        <v>53.09</v>
      </c>
      <c r="D25" s="12">
        <v>8.34</v>
      </c>
      <c r="E25" s="10">
        <v>2.84</v>
      </c>
      <c r="F25" s="10">
        <v>12.72</v>
      </c>
      <c r="G25" s="12">
        <v>3.27</v>
      </c>
      <c r="H25" s="12">
        <v>1.79</v>
      </c>
      <c r="I25" s="12">
        <v>0.65</v>
      </c>
      <c r="J25" s="10">
        <v>208</v>
      </c>
      <c r="K25" s="12">
        <v>0.99</v>
      </c>
      <c r="L25" s="12">
        <v>13.04</v>
      </c>
      <c r="M25" s="12">
        <v>0.9</v>
      </c>
      <c r="N25" s="10">
        <v>33.39</v>
      </c>
      <c r="O25" s="17">
        <v>5.08</v>
      </c>
      <c r="P25" s="17">
        <v>87.68</v>
      </c>
    </row>
    <row r="26" spans="1:16" x14ac:dyDescent="0.35">
      <c r="A26" s="16">
        <v>46137</v>
      </c>
      <c r="B26" s="12">
        <v>2.69</v>
      </c>
      <c r="C26" s="12">
        <v>52.72</v>
      </c>
      <c r="D26" s="12">
        <v>8.81</v>
      </c>
      <c r="E26" s="10">
        <v>2.84</v>
      </c>
      <c r="F26" s="10">
        <v>19.03</v>
      </c>
      <c r="G26" s="12">
        <v>2.66</v>
      </c>
      <c r="H26" s="12">
        <v>1.58</v>
      </c>
      <c r="I26" s="12">
        <v>0.36</v>
      </c>
      <c r="J26" s="10">
        <v>237</v>
      </c>
      <c r="K26" s="12">
        <v>1.03</v>
      </c>
      <c r="L26" s="12">
        <v>12.92</v>
      </c>
      <c r="M26" s="12">
        <v>1.17</v>
      </c>
      <c r="N26" s="10">
        <v>50.68</v>
      </c>
      <c r="O26" s="17">
        <v>5.08</v>
      </c>
      <c r="P26" s="17">
        <v>87.68</v>
      </c>
    </row>
    <row r="27" spans="1:16" x14ac:dyDescent="0.35">
      <c r="A27" s="16">
        <v>46138</v>
      </c>
      <c r="B27" s="12">
        <v>2.91</v>
      </c>
      <c r="C27" s="12">
        <v>52.54</v>
      </c>
      <c r="D27" s="12">
        <v>8.89</v>
      </c>
      <c r="E27" s="10">
        <v>2.75</v>
      </c>
      <c r="F27" s="10">
        <v>18.510000000000002</v>
      </c>
      <c r="G27" s="12">
        <v>3.04</v>
      </c>
      <c r="H27" s="12">
        <v>1.21</v>
      </c>
      <c r="I27" s="12">
        <v>0.3</v>
      </c>
      <c r="J27" s="10">
        <v>240.33</v>
      </c>
      <c r="K27" s="12">
        <v>0.97</v>
      </c>
      <c r="L27" s="12">
        <v>13.11</v>
      </c>
      <c r="M27" s="12">
        <v>1.2</v>
      </c>
      <c r="N27" s="10">
        <v>50.2</v>
      </c>
      <c r="O27" s="17">
        <v>5.08</v>
      </c>
      <c r="P27" s="17">
        <v>87.68</v>
      </c>
    </row>
    <row r="28" spans="1:16" x14ac:dyDescent="0.35">
      <c r="A28" s="16">
        <v>46139</v>
      </c>
      <c r="B28" s="12">
        <v>2.8</v>
      </c>
      <c r="C28" s="12">
        <v>52.44</v>
      </c>
      <c r="D28" s="12">
        <v>8.85</v>
      </c>
      <c r="E28" s="10">
        <v>2.83</v>
      </c>
      <c r="F28" s="10">
        <v>18.920000000000002</v>
      </c>
      <c r="G28" s="12">
        <v>2.86</v>
      </c>
      <c r="H28" s="12">
        <v>1.45</v>
      </c>
      <c r="I28" s="12">
        <v>0.37</v>
      </c>
      <c r="J28" s="10">
        <v>237</v>
      </c>
      <c r="K28" s="12">
        <v>1.01</v>
      </c>
      <c r="L28" s="12">
        <v>13.05</v>
      </c>
      <c r="M28" s="12">
        <v>1.52</v>
      </c>
      <c r="N28" s="10">
        <v>31.79</v>
      </c>
      <c r="O28" s="17">
        <v>5.08</v>
      </c>
      <c r="P28" s="17">
        <v>87.68</v>
      </c>
    </row>
    <row r="29" spans="1:16" x14ac:dyDescent="0.35">
      <c r="A29" s="16">
        <v>46140</v>
      </c>
      <c r="B29" s="12">
        <v>2.72</v>
      </c>
      <c r="C29" s="12">
        <v>53.61</v>
      </c>
      <c r="D29" s="12">
        <v>8.9</v>
      </c>
      <c r="E29" s="10">
        <v>2.5499999999999998</v>
      </c>
      <c r="F29" s="10">
        <v>12.23</v>
      </c>
      <c r="G29" s="12">
        <v>3.17</v>
      </c>
      <c r="H29" s="12">
        <v>1.66</v>
      </c>
      <c r="I29" s="12">
        <v>0.49</v>
      </c>
      <c r="J29" s="10">
        <v>212.33</v>
      </c>
      <c r="K29" s="12">
        <v>1.06</v>
      </c>
      <c r="L29" s="12">
        <v>12.92</v>
      </c>
      <c r="M29" s="12">
        <v>1.55</v>
      </c>
      <c r="N29" s="10">
        <v>33.46</v>
      </c>
      <c r="O29" s="17">
        <v>5.09</v>
      </c>
      <c r="P29" s="17">
        <v>88.06</v>
      </c>
    </row>
    <row r="30" spans="1:16" x14ac:dyDescent="0.35">
      <c r="A30" s="16">
        <v>46141</v>
      </c>
      <c r="B30" s="12">
        <v>2.84</v>
      </c>
      <c r="C30" s="12">
        <v>52.95</v>
      </c>
      <c r="D30" s="12">
        <v>8.9499999999999993</v>
      </c>
      <c r="E30" s="10">
        <v>2.5</v>
      </c>
      <c r="F30" s="10">
        <v>19.239999999999998</v>
      </c>
      <c r="G30" s="12">
        <v>2.93</v>
      </c>
      <c r="H30" s="12">
        <v>1.39</v>
      </c>
      <c r="I30" s="12">
        <v>0.52</v>
      </c>
      <c r="J30" s="10">
        <v>133.33000000000001</v>
      </c>
      <c r="K30" s="12">
        <v>0.97</v>
      </c>
      <c r="L30" s="12">
        <v>13.22</v>
      </c>
      <c r="M30" s="12">
        <v>1.17</v>
      </c>
      <c r="N30" s="10">
        <v>49.76</v>
      </c>
      <c r="O30" s="17">
        <v>5.46</v>
      </c>
      <c r="P30" s="17">
        <v>87.76</v>
      </c>
    </row>
    <row r="31" spans="1:16" x14ac:dyDescent="0.35">
      <c r="A31" s="16">
        <v>46142</v>
      </c>
      <c r="B31" s="12">
        <v>2.93</v>
      </c>
      <c r="C31" s="12">
        <v>51.78</v>
      </c>
      <c r="D31" s="12">
        <v>8.65</v>
      </c>
      <c r="E31" s="10">
        <v>2.68</v>
      </c>
      <c r="F31" s="10">
        <v>19.46</v>
      </c>
      <c r="G31" s="12">
        <v>2.76</v>
      </c>
      <c r="H31" s="12">
        <v>1.59</v>
      </c>
      <c r="I31" s="12">
        <v>0.48</v>
      </c>
      <c r="J31" s="10">
        <v>237.67</v>
      </c>
      <c r="K31" s="12">
        <v>1</v>
      </c>
      <c r="L31" s="12">
        <v>13.12</v>
      </c>
      <c r="M31" s="12">
        <v>1.38</v>
      </c>
      <c r="N31" s="10">
        <v>52.83</v>
      </c>
      <c r="O31" s="18">
        <v>0</v>
      </c>
      <c r="P31" s="18">
        <v>0</v>
      </c>
    </row>
    <row r="32" spans="1:16" s="28" customFormat="1" x14ac:dyDescent="0.35">
      <c r="A32" s="23">
        <v>46143</v>
      </c>
      <c r="B32" s="26">
        <v>2.82</v>
      </c>
      <c r="C32" s="26">
        <v>52.62</v>
      </c>
      <c r="D32" s="26">
        <v>8.9700000000000006</v>
      </c>
      <c r="E32" s="24">
        <v>2.87</v>
      </c>
      <c r="F32" s="24">
        <v>17.95</v>
      </c>
      <c r="G32" s="26">
        <v>2.31</v>
      </c>
      <c r="H32" s="26">
        <v>1.1299999999999999</v>
      </c>
      <c r="I32" s="26">
        <v>0.18</v>
      </c>
      <c r="J32" s="24">
        <v>265.67</v>
      </c>
      <c r="K32" s="26">
        <v>0.95</v>
      </c>
      <c r="L32" s="26">
        <v>12.89</v>
      </c>
      <c r="M32" s="26">
        <v>1.07</v>
      </c>
      <c r="N32" s="24">
        <v>52.09</v>
      </c>
      <c r="O32" s="41">
        <v>0</v>
      </c>
      <c r="P32" s="41">
        <v>0</v>
      </c>
    </row>
    <row r="33" spans="1:16" x14ac:dyDescent="0.35">
      <c r="A33" s="16">
        <v>46144</v>
      </c>
      <c r="B33" s="12">
        <v>2.74</v>
      </c>
      <c r="C33" s="12">
        <v>53.18</v>
      </c>
      <c r="D33" s="12">
        <v>8.98</v>
      </c>
      <c r="E33" s="10">
        <v>2.64</v>
      </c>
      <c r="F33" s="10">
        <v>13.18</v>
      </c>
      <c r="G33" s="12">
        <v>2.81</v>
      </c>
      <c r="H33" s="12">
        <v>1.54</v>
      </c>
      <c r="I33" s="12">
        <v>0.54</v>
      </c>
      <c r="J33" s="10">
        <v>226.33</v>
      </c>
      <c r="K33" s="12">
        <v>0.96</v>
      </c>
      <c r="L33" s="12">
        <v>12.83</v>
      </c>
      <c r="M33" s="12">
        <v>1.07</v>
      </c>
      <c r="N33" s="10">
        <v>34.14</v>
      </c>
      <c r="O33" s="40">
        <v>5.45</v>
      </c>
      <c r="P33" s="40">
        <v>88.21</v>
      </c>
    </row>
    <row r="34" spans="1:16" x14ac:dyDescent="0.35">
      <c r="A34" s="16">
        <v>46145</v>
      </c>
      <c r="B34" s="12">
        <v>2.39</v>
      </c>
      <c r="C34" s="12">
        <v>53.59</v>
      </c>
      <c r="D34" s="12">
        <v>8.9700000000000006</v>
      </c>
      <c r="E34" s="10">
        <v>2.69</v>
      </c>
      <c r="F34" s="10">
        <v>18.510000000000002</v>
      </c>
      <c r="G34" s="12">
        <v>2.82</v>
      </c>
      <c r="H34" s="12">
        <v>1.46</v>
      </c>
      <c r="I34" s="12">
        <v>0.45</v>
      </c>
      <c r="J34" s="10">
        <v>232.33</v>
      </c>
      <c r="K34" s="12">
        <v>0.99</v>
      </c>
      <c r="L34" s="12">
        <v>12.94</v>
      </c>
      <c r="M34" s="12">
        <v>1.33</v>
      </c>
      <c r="N34" s="10">
        <v>50.73</v>
      </c>
      <c r="O34" s="39">
        <v>5.54</v>
      </c>
      <c r="P34" s="39">
        <v>88.06</v>
      </c>
    </row>
    <row r="35" spans="1:16" x14ac:dyDescent="0.35">
      <c r="A35" s="16">
        <v>46146</v>
      </c>
      <c r="B35" s="12">
        <v>2.36</v>
      </c>
      <c r="C35" s="12">
        <v>52.82</v>
      </c>
      <c r="D35" s="12">
        <v>8.93</v>
      </c>
      <c r="E35" s="10">
        <v>2.85</v>
      </c>
      <c r="F35" s="10">
        <v>17.97</v>
      </c>
      <c r="G35" s="12">
        <v>3.26</v>
      </c>
      <c r="H35" s="12">
        <v>1.84</v>
      </c>
      <c r="I35" s="12">
        <v>0.76</v>
      </c>
      <c r="J35" s="10">
        <v>199.67</v>
      </c>
      <c r="K35" s="12">
        <v>0.95</v>
      </c>
      <c r="L35" s="12">
        <v>12.88</v>
      </c>
      <c r="M35" s="12">
        <v>2.33</v>
      </c>
      <c r="N35" s="10">
        <v>48.81</v>
      </c>
      <c r="O35" s="40">
        <v>5.68</v>
      </c>
      <c r="P35" s="40">
        <v>86.76</v>
      </c>
    </row>
    <row r="36" spans="1:16" x14ac:dyDescent="0.35">
      <c r="A36" s="16">
        <v>46147</v>
      </c>
      <c r="B36" s="12">
        <v>2.56</v>
      </c>
      <c r="C36" s="12">
        <v>52.96</v>
      </c>
      <c r="D36" s="12">
        <v>9.02</v>
      </c>
      <c r="E36" s="10">
        <v>2.67</v>
      </c>
      <c r="F36" s="10">
        <v>12.03</v>
      </c>
      <c r="G36" s="12">
        <v>2.23</v>
      </c>
      <c r="H36" s="12">
        <v>1.32</v>
      </c>
      <c r="I36" s="12">
        <v>0.24</v>
      </c>
      <c r="J36" s="10">
        <v>262</v>
      </c>
      <c r="K36" s="12">
        <v>0.98</v>
      </c>
      <c r="L36" s="12">
        <v>13.2</v>
      </c>
      <c r="M36" s="12">
        <v>2.1</v>
      </c>
      <c r="N36" s="10">
        <v>33.43</v>
      </c>
      <c r="O36" s="39">
        <v>5.08</v>
      </c>
      <c r="P36" s="39">
        <v>87.68</v>
      </c>
    </row>
    <row r="37" spans="1:16" x14ac:dyDescent="0.35">
      <c r="A37" s="16">
        <v>46148</v>
      </c>
      <c r="B37" s="12">
        <v>2.66</v>
      </c>
      <c r="C37" s="12">
        <v>53</v>
      </c>
      <c r="D37" s="12">
        <v>9.01</v>
      </c>
      <c r="E37" s="10">
        <v>2.61</v>
      </c>
      <c r="F37" s="10">
        <v>18.87</v>
      </c>
      <c r="G37" s="12">
        <v>3.14</v>
      </c>
      <c r="H37" s="12">
        <v>1.38</v>
      </c>
      <c r="I37" s="12">
        <v>0.6</v>
      </c>
      <c r="J37" s="10">
        <v>212</v>
      </c>
      <c r="K37" s="12">
        <v>0.99</v>
      </c>
      <c r="L37" s="12">
        <v>12.84</v>
      </c>
      <c r="M37" s="12">
        <v>3.53</v>
      </c>
      <c r="N37" s="10">
        <v>49.02</v>
      </c>
      <c r="O37" s="42">
        <v>0</v>
      </c>
      <c r="P37" s="42">
        <v>0</v>
      </c>
    </row>
    <row r="38" spans="1:16" x14ac:dyDescent="0.35">
      <c r="A38" s="16">
        <v>46149</v>
      </c>
      <c r="B38" s="12">
        <v>2.67</v>
      </c>
      <c r="C38" s="12">
        <v>52.35</v>
      </c>
      <c r="D38" s="12">
        <v>9.07</v>
      </c>
      <c r="E38" s="10">
        <v>2.96</v>
      </c>
      <c r="F38" s="10">
        <v>10.210000000000001</v>
      </c>
      <c r="G38" s="12">
        <v>3.06</v>
      </c>
      <c r="H38" s="12">
        <v>1.68</v>
      </c>
      <c r="I38" s="12">
        <v>0.57999999999999996</v>
      </c>
      <c r="J38" s="10">
        <v>202.67</v>
      </c>
      <c r="K38" s="12">
        <v>0.99</v>
      </c>
      <c r="L38" s="12">
        <v>13.05</v>
      </c>
      <c r="M38" s="12">
        <v>2</v>
      </c>
      <c r="N38" s="10">
        <v>49.37</v>
      </c>
      <c r="O38" s="41">
        <v>0</v>
      </c>
      <c r="P38" s="41">
        <v>0</v>
      </c>
    </row>
    <row r="39" spans="1:16" x14ac:dyDescent="0.35">
      <c r="A39" s="16">
        <v>46150</v>
      </c>
      <c r="B39" s="12">
        <v>2.85</v>
      </c>
      <c r="C39" s="12">
        <v>52.41</v>
      </c>
      <c r="D39" s="12">
        <v>9.0500000000000007</v>
      </c>
      <c r="E39" s="10">
        <v>2.72</v>
      </c>
      <c r="F39" s="10">
        <v>10.56</v>
      </c>
      <c r="G39" s="12">
        <v>3.64</v>
      </c>
      <c r="H39" s="12">
        <v>2.17</v>
      </c>
      <c r="I39" s="12">
        <v>0.95</v>
      </c>
      <c r="J39" s="10">
        <v>184.67</v>
      </c>
      <c r="K39" s="12">
        <v>0.99</v>
      </c>
      <c r="L39" s="12">
        <v>12.83</v>
      </c>
      <c r="M39" s="12">
        <v>2.13</v>
      </c>
      <c r="N39" s="10">
        <v>48.96</v>
      </c>
      <c r="O39" s="42">
        <v>0</v>
      </c>
      <c r="P39" s="42">
        <v>0</v>
      </c>
    </row>
    <row r="40" spans="1:16" x14ac:dyDescent="0.35">
      <c r="A40" s="16">
        <v>46151</v>
      </c>
      <c r="B40" s="12">
        <v>2.73</v>
      </c>
      <c r="C40" s="12">
        <v>52.51</v>
      </c>
      <c r="D40" s="12">
        <v>8.9700000000000006</v>
      </c>
      <c r="E40" s="10">
        <v>2.73</v>
      </c>
      <c r="F40" s="10">
        <v>18.88</v>
      </c>
      <c r="G40" s="12">
        <v>3.66</v>
      </c>
      <c r="H40" s="12">
        <v>2.13</v>
      </c>
      <c r="I40" s="12">
        <v>0.99</v>
      </c>
      <c r="J40" s="10">
        <v>180.67</v>
      </c>
      <c r="K40" s="12">
        <v>1.01</v>
      </c>
      <c r="L40" s="12">
        <v>13.01</v>
      </c>
      <c r="M40" s="12">
        <v>1.1299999999999999</v>
      </c>
      <c r="N40" s="10">
        <v>51.15</v>
      </c>
      <c r="O40" s="39">
        <v>5.08</v>
      </c>
      <c r="P40" s="39">
        <v>87.68</v>
      </c>
    </row>
    <row r="41" spans="1:16" x14ac:dyDescent="0.35">
      <c r="A41" s="16">
        <v>46152</v>
      </c>
      <c r="B41" s="12">
        <v>2.7</v>
      </c>
      <c r="C41" s="12">
        <v>52.41</v>
      </c>
      <c r="D41" s="12">
        <v>8.9499999999999993</v>
      </c>
      <c r="E41" s="10">
        <v>2.79</v>
      </c>
      <c r="F41" s="10">
        <v>13.28</v>
      </c>
      <c r="G41" s="12">
        <v>3.29</v>
      </c>
      <c r="H41" s="12">
        <v>1.72</v>
      </c>
      <c r="I41" s="12">
        <v>0.65</v>
      </c>
      <c r="J41" s="10">
        <v>207</v>
      </c>
      <c r="K41" s="12">
        <v>0.98</v>
      </c>
      <c r="L41" s="12">
        <v>12.88</v>
      </c>
      <c r="M41" s="12">
        <v>2.12</v>
      </c>
      <c r="N41" s="10">
        <v>48.95</v>
      </c>
      <c r="O41" s="40">
        <v>5.08</v>
      </c>
      <c r="P41" s="40">
        <v>87.68</v>
      </c>
    </row>
    <row r="42" spans="1:16" x14ac:dyDescent="0.35">
      <c r="A42" s="16">
        <v>46153</v>
      </c>
      <c r="B42" s="12">
        <v>2.8</v>
      </c>
      <c r="C42" s="12">
        <v>52.13</v>
      </c>
      <c r="D42" s="12">
        <v>8.9700000000000006</v>
      </c>
      <c r="E42" s="10">
        <v>2.98</v>
      </c>
      <c r="F42" s="10">
        <v>19.809999999999999</v>
      </c>
      <c r="G42" s="12">
        <v>3.1</v>
      </c>
      <c r="H42" s="12">
        <v>1.74</v>
      </c>
      <c r="I42" s="12">
        <v>0.76</v>
      </c>
      <c r="J42" s="10">
        <v>222.5</v>
      </c>
      <c r="K42" s="12">
        <v>0.96</v>
      </c>
      <c r="L42" s="12">
        <v>12.81</v>
      </c>
      <c r="M42" s="12">
        <v>1.85</v>
      </c>
      <c r="N42" s="10">
        <v>49.42</v>
      </c>
      <c r="O42" s="41">
        <v>0</v>
      </c>
      <c r="P42" s="41">
        <v>0</v>
      </c>
    </row>
    <row r="43" spans="1:16" x14ac:dyDescent="0.35">
      <c r="A43" s="16">
        <v>46154</v>
      </c>
      <c r="B43" s="12">
        <v>2.31</v>
      </c>
      <c r="C43" s="12">
        <v>52.98</v>
      </c>
      <c r="D43" s="12">
        <v>8.9700000000000006</v>
      </c>
      <c r="E43" s="10">
        <v>3.05</v>
      </c>
      <c r="F43" s="10">
        <v>0</v>
      </c>
      <c r="G43" s="12">
        <v>2.4500000000000002</v>
      </c>
      <c r="H43" s="12">
        <v>1.07</v>
      </c>
      <c r="I43" s="12">
        <v>0.3</v>
      </c>
      <c r="J43" s="10">
        <v>250</v>
      </c>
      <c r="K43" s="12">
        <v>0.99</v>
      </c>
      <c r="L43" s="12">
        <v>12.7</v>
      </c>
      <c r="M43" s="12">
        <v>1.6</v>
      </c>
      <c r="N43" s="10">
        <v>50.53</v>
      </c>
      <c r="O43" s="42">
        <v>0</v>
      </c>
      <c r="P43" s="42">
        <v>0</v>
      </c>
    </row>
    <row r="44" spans="1:16" x14ac:dyDescent="0.35">
      <c r="A44" s="16">
        <v>46155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39">
        <v>5.08</v>
      </c>
      <c r="P44" s="39">
        <v>87.68</v>
      </c>
    </row>
    <row r="45" spans="1:16" x14ac:dyDescent="0.35">
      <c r="A45" s="16">
        <v>46156</v>
      </c>
      <c r="B45" s="12">
        <v>2.71</v>
      </c>
      <c r="C45" s="12">
        <v>52.24</v>
      </c>
      <c r="D45" s="12">
        <v>8.9499999999999993</v>
      </c>
      <c r="E45" s="10">
        <v>2.96</v>
      </c>
      <c r="F45" s="10">
        <v>13.44</v>
      </c>
      <c r="G45" s="12">
        <v>2.84</v>
      </c>
      <c r="H45" s="12">
        <v>1.46</v>
      </c>
      <c r="I45" s="12">
        <v>0.51</v>
      </c>
      <c r="J45" s="10">
        <v>230.33</v>
      </c>
      <c r="K45" s="12">
        <v>0.95</v>
      </c>
      <c r="L45" s="12">
        <v>12.92</v>
      </c>
      <c r="M45" s="12">
        <v>1.1299999999999999</v>
      </c>
      <c r="N45" s="10">
        <v>49.65</v>
      </c>
      <c r="O45" s="40">
        <v>5.08</v>
      </c>
      <c r="P45" s="40">
        <v>87.68</v>
      </c>
    </row>
    <row r="46" spans="1:16" x14ac:dyDescent="0.35">
      <c r="A46" s="16">
        <v>46157</v>
      </c>
      <c r="B46" s="12">
        <v>2.82</v>
      </c>
      <c r="C46" s="12">
        <v>52.4</v>
      </c>
      <c r="D46" s="12">
        <v>9.01</v>
      </c>
      <c r="E46" s="10">
        <v>2.7</v>
      </c>
      <c r="F46" s="10">
        <v>11.56</v>
      </c>
      <c r="G46" s="12">
        <v>3.15</v>
      </c>
      <c r="H46" s="12">
        <v>1.75</v>
      </c>
      <c r="I46" s="12">
        <v>0.63</v>
      </c>
      <c r="J46" s="10">
        <v>209</v>
      </c>
      <c r="K46" s="12">
        <v>0.99</v>
      </c>
      <c r="L46" s="12">
        <v>12.86</v>
      </c>
      <c r="M46" s="12">
        <v>1.2</v>
      </c>
      <c r="N46" s="10">
        <v>32.79</v>
      </c>
      <c r="O46" s="39">
        <v>5.08</v>
      </c>
      <c r="P46" s="39">
        <v>87.68</v>
      </c>
    </row>
    <row r="47" spans="1:16" x14ac:dyDescent="0.35">
      <c r="A47" s="16">
        <v>46158</v>
      </c>
      <c r="B47" s="12">
        <v>2.59</v>
      </c>
      <c r="C47" s="12">
        <v>52.19</v>
      </c>
      <c r="D47" s="12">
        <v>8.94</v>
      </c>
      <c r="E47" s="10">
        <v>2.71</v>
      </c>
      <c r="F47" s="10">
        <v>12.35</v>
      </c>
      <c r="G47" s="12">
        <v>2.87</v>
      </c>
      <c r="H47" s="12">
        <v>1.57</v>
      </c>
      <c r="I47" s="12">
        <v>0.42</v>
      </c>
      <c r="J47" s="10">
        <v>232</v>
      </c>
      <c r="K47" s="12">
        <v>0.93</v>
      </c>
      <c r="L47" s="12">
        <v>13.11</v>
      </c>
      <c r="M47" s="12">
        <v>1.68</v>
      </c>
      <c r="N47" s="10">
        <v>49.86</v>
      </c>
      <c r="O47" s="40">
        <v>5.08</v>
      </c>
      <c r="P47" s="40">
        <v>87.68</v>
      </c>
    </row>
    <row r="48" spans="1:16" x14ac:dyDescent="0.35">
      <c r="A48" s="16">
        <v>46159</v>
      </c>
      <c r="B48" s="12">
        <v>2.58</v>
      </c>
      <c r="C48" s="12">
        <v>51.9</v>
      </c>
      <c r="D48" s="12">
        <v>8.94</v>
      </c>
      <c r="E48" s="10">
        <v>2.85</v>
      </c>
      <c r="F48" s="10">
        <v>19.420000000000002</v>
      </c>
      <c r="G48" s="12">
        <v>3.62</v>
      </c>
      <c r="H48" s="12">
        <v>1.98</v>
      </c>
      <c r="I48" s="12">
        <v>0.76</v>
      </c>
      <c r="J48" s="10">
        <v>178</v>
      </c>
      <c r="K48" s="12">
        <v>0.94</v>
      </c>
      <c r="L48" s="12">
        <v>13.14</v>
      </c>
      <c r="M48" s="12">
        <v>1.32</v>
      </c>
      <c r="N48" s="10">
        <v>48.97</v>
      </c>
      <c r="O48" s="41">
        <v>0</v>
      </c>
      <c r="P48" s="41">
        <v>0</v>
      </c>
    </row>
    <row r="49" spans="1:16" x14ac:dyDescent="0.35">
      <c r="A49" s="16">
        <v>46160</v>
      </c>
      <c r="B49" s="12">
        <v>2.8</v>
      </c>
      <c r="C49" s="12">
        <v>52.43</v>
      </c>
      <c r="D49" s="12">
        <v>9.02</v>
      </c>
      <c r="E49" s="10">
        <v>2.38</v>
      </c>
      <c r="F49" s="10">
        <v>17.23</v>
      </c>
      <c r="G49" s="12">
        <v>3.71</v>
      </c>
      <c r="H49" s="12">
        <v>1.91</v>
      </c>
      <c r="I49" s="12">
        <v>0.76</v>
      </c>
      <c r="J49" s="10">
        <v>120.33</v>
      </c>
      <c r="K49" s="12">
        <v>0.91</v>
      </c>
      <c r="L49" s="12">
        <v>13.12</v>
      </c>
      <c r="M49" s="12">
        <v>1.1000000000000001</v>
      </c>
      <c r="N49" s="10">
        <v>49.51</v>
      </c>
      <c r="O49" s="42">
        <v>0</v>
      </c>
      <c r="P49" s="42">
        <v>0</v>
      </c>
    </row>
    <row r="50" spans="1:16" x14ac:dyDescent="0.35">
      <c r="A50" s="16">
        <v>46161</v>
      </c>
      <c r="B50" s="12">
        <v>2.52</v>
      </c>
      <c r="C50" s="12">
        <v>52.28</v>
      </c>
      <c r="D50" s="12">
        <v>9</v>
      </c>
      <c r="E50" s="10">
        <v>2.59</v>
      </c>
      <c r="F50" s="10">
        <v>18.97</v>
      </c>
      <c r="G50" s="12">
        <v>2.52</v>
      </c>
      <c r="H50" s="12">
        <v>1.44</v>
      </c>
      <c r="I50" s="12">
        <v>0.31</v>
      </c>
      <c r="J50" s="10">
        <v>256</v>
      </c>
      <c r="K50" s="12">
        <v>0.91</v>
      </c>
      <c r="L50" s="12">
        <v>13.18</v>
      </c>
      <c r="M50" s="12">
        <v>1.28</v>
      </c>
      <c r="N50" s="10">
        <v>50.3</v>
      </c>
      <c r="O50" s="41">
        <v>0</v>
      </c>
      <c r="P50" s="41">
        <v>0</v>
      </c>
    </row>
    <row r="51" spans="1:16" x14ac:dyDescent="0.35">
      <c r="A51" s="16">
        <v>46162</v>
      </c>
      <c r="B51" s="12">
        <v>2.67</v>
      </c>
      <c r="C51" s="12">
        <v>51.83</v>
      </c>
      <c r="D51" s="12">
        <v>9.1300000000000008</v>
      </c>
      <c r="E51" s="10">
        <v>2.72</v>
      </c>
      <c r="F51" s="10">
        <v>15.3</v>
      </c>
      <c r="G51" s="12">
        <v>2.58</v>
      </c>
      <c r="H51" s="12">
        <v>1.43</v>
      </c>
      <c r="I51" s="12">
        <v>0.38</v>
      </c>
      <c r="J51" s="10">
        <v>256</v>
      </c>
      <c r="K51" s="12">
        <v>0.92</v>
      </c>
      <c r="L51" s="12">
        <v>13.19</v>
      </c>
      <c r="M51" s="12">
        <v>1.1000000000000001</v>
      </c>
      <c r="N51" s="10">
        <v>50.1</v>
      </c>
      <c r="O51" s="42">
        <v>0</v>
      </c>
      <c r="P51" s="42">
        <v>0</v>
      </c>
    </row>
    <row r="52" spans="1:16" x14ac:dyDescent="0.35">
      <c r="A52" s="16">
        <v>46163</v>
      </c>
      <c r="B52" s="12">
        <v>2.5499999999999998</v>
      </c>
      <c r="C52" s="12">
        <v>52.27</v>
      </c>
      <c r="D52" s="12">
        <v>9.2100000000000009</v>
      </c>
      <c r="E52" s="10">
        <v>2.67</v>
      </c>
      <c r="F52" s="10">
        <v>17.84</v>
      </c>
      <c r="G52" s="12">
        <v>2.62</v>
      </c>
      <c r="H52" s="12">
        <v>1.58</v>
      </c>
      <c r="I52" s="12">
        <v>0.38</v>
      </c>
      <c r="J52" s="10">
        <v>242.67</v>
      </c>
      <c r="K52" s="12">
        <v>0.99</v>
      </c>
      <c r="L52" s="12">
        <v>12.88</v>
      </c>
      <c r="M52" s="12">
        <v>2.67</v>
      </c>
      <c r="N52" s="10">
        <v>48.74</v>
      </c>
      <c r="O52" s="41">
        <v>0</v>
      </c>
      <c r="P52" s="41">
        <v>0</v>
      </c>
    </row>
    <row r="53" spans="1:16" x14ac:dyDescent="0.35">
      <c r="A53" s="16">
        <v>46164</v>
      </c>
      <c r="B53" s="12">
        <v>2.66</v>
      </c>
      <c r="C53" s="12">
        <v>52.9</v>
      </c>
      <c r="D53" s="12">
        <v>9.1999999999999993</v>
      </c>
      <c r="E53" s="10">
        <v>2.86</v>
      </c>
      <c r="F53" s="10">
        <v>18.920000000000002</v>
      </c>
      <c r="G53" s="12">
        <v>3.39</v>
      </c>
      <c r="H53" s="12">
        <v>2.0499999999999998</v>
      </c>
      <c r="I53" s="12">
        <v>0.63</v>
      </c>
      <c r="J53" s="10">
        <v>197</v>
      </c>
      <c r="K53" s="12">
        <v>0.99</v>
      </c>
      <c r="L53" s="12">
        <v>13.11</v>
      </c>
      <c r="M53" s="12">
        <v>1.47</v>
      </c>
      <c r="N53" s="10">
        <v>50.11</v>
      </c>
      <c r="O53" s="40">
        <v>5.56</v>
      </c>
      <c r="P53" s="40">
        <v>87.79</v>
      </c>
    </row>
    <row r="54" spans="1:16" x14ac:dyDescent="0.35">
      <c r="A54" s="16">
        <v>46165</v>
      </c>
      <c r="B54" s="12">
        <v>2.78</v>
      </c>
      <c r="C54" s="12">
        <v>52.53</v>
      </c>
      <c r="D54" s="12">
        <v>9.11</v>
      </c>
      <c r="E54" s="10">
        <v>2.69</v>
      </c>
      <c r="F54" s="10">
        <v>26.56</v>
      </c>
      <c r="G54" s="12">
        <v>3.6</v>
      </c>
      <c r="H54" s="12">
        <v>2.25</v>
      </c>
      <c r="I54" s="12">
        <v>0.75</v>
      </c>
      <c r="J54" s="10">
        <v>187</v>
      </c>
      <c r="K54" s="12">
        <v>1.01</v>
      </c>
      <c r="L54" s="12">
        <v>13.17</v>
      </c>
      <c r="M54" s="12">
        <v>1.6</v>
      </c>
      <c r="N54" s="10">
        <v>50.58</v>
      </c>
      <c r="O54" s="39">
        <v>5.55</v>
      </c>
      <c r="P54" s="39">
        <v>87.7</v>
      </c>
    </row>
    <row r="55" spans="1:16" x14ac:dyDescent="0.35">
      <c r="A55" s="16">
        <v>46166</v>
      </c>
      <c r="B55" s="12">
        <v>2.58</v>
      </c>
      <c r="C55" s="12">
        <v>52.33</v>
      </c>
      <c r="D55" s="12">
        <v>9.16</v>
      </c>
      <c r="E55" s="10">
        <v>2.8</v>
      </c>
      <c r="F55" s="10">
        <v>19.309999999999999</v>
      </c>
      <c r="G55" s="12">
        <v>2.99</v>
      </c>
      <c r="H55" s="12">
        <v>1.48</v>
      </c>
      <c r="I55" s="12">
        <v>0.47</v>
      </c>
      <c r="J55" s="10">
        <v>218.5</v>
      </c>
      <c r="K55" s="12">
        <v>0.97</v>
      </c>
      <c r="L55" s="12">
        <v>13.02</v>
      </c>
      <c r="M55" s="12">
        <v>1.75</v>
      </c>
      <c r="N55" s="10">
        <v>50.25</v>
      </c>
      <c r="O55" s="40">
        <v>5.46</v>
      </c>
      <c r="P55" s="40">
        <v>87.76</v>
      </c>
    </row>
    <row r="56" spans="1:16" x14ac:dyDescent="0.35">
      <c r="A56" s="16">
        <v>46167</v>
      </c>
      <c r="B56" s="12">
        <v>2.5</v>
      </c>
      <c r="C56" s="12">
        <v>52.64</v>
      </c>
      <c r="D56" s="12">
        <v>9.08</v>
      </c>
      <c r="E56" s="10">
        <v>2.72</v>
      </c>
      <c r="F56" s="10">
        <v>18.88</v>
      </c>
      <c r="G56" s="12">
        <v>3.63</v>
      </c>
      <c r="H56" s="12">
        <v>1.98</v>
      </c>
      <c r="I56" s="12">
        <v>0.79</v>
      </c>
      <c r="J56" s="10">
        <v>180.33</v>
      </c>
      <c r="K56" s="12">
        <v>0.91</v>
      </c>
      <c r="L56" s="12">
        <v>13.17</v>
      </c>
      <c r="M56" s="12">
        <v>1.62</v>
      </c>
      <c r="N56" s="10">
        <v>50.77</v>
      </c>
      <c r="O56" s="39">
        <v>5.36</v>
      </c>
      <c r="P56" s="39">
        <v>87.91</v>
      </c>
    </row>
    <row r="57" spans="1:16" x14ac:dyDescent="0.35">
      <c r="A57" s="16">
        <v>46168</v>
      </c>
      <c r="B57" s="12">
        <v>2.5499999999999998</v>
      </c>
      <c r="C57" s="12">
        <v>53.04</v>
      </c>
      <c r="D57" s="12">
        <v>9.1199999999999992</v>
      </c>
      <c r="E57" s="10">
        <v>2.71</v>
      </c>
      <c r="F57" s="10">
        <v>9.5500000000000007</v>
      </c>
      <c r="G57" s="12">
        <v>3.59</v>
      </c>
      <c r="H57" s="12">
        <v>1.86</v>
      </c>
      <c r="I57" s="12">
        <v>0.81</v>
      </c>
      <c r="J57" s="10">
        <v>179.5</v>
      </c>
      <c r="K57" s="12">
        <v>0.95</v>
      </c>
      <c r="L57" s="12">
        <v>13.05</v>
      </c>
      <c r="M57" s="12">
        <v>1.3</v>
      </c>
      <c r="N57" s="10">
        <v>49.76</v>
      </c>
      <c r="O57" s="42">
        <v>0</v>
      </c>
      <c r="P57" s="42">
        <v>0</v>
      </c>
    </row>
    <row r="58" spans="1:16" x14ac:dyDescent="0.35">
      <c r="A58" s="16">
        <v>46169</v>
      </c>
      <c r="B58" s="12">
        <v>2.54</v>
      </c>
      <c r="C58" s="12">
        <v>52.42</v>
      </c>
      <c r="D58" s="12">
        <v>9.1</v>
      </c>
      <c r="E58" s="10">
        <v>2.81</v>
      </c>
      <c r="F58" s="10">
        <v>16.559999999999999</v>
      </c>
      <c r="G58" s="12">
        <v>3.6</v>
      </c>
      <c r="H58" s="12">
        <v>1.84</v>
      </c>
      <c r="I58" s="12">
        <v>0.7</v>
      </c>
      <c r="J58" s="10">
        <v>181</v>
      </c>
      <c r="K58" s="12">
        <v>0.96</v>
      </c>
      <c r="L58" s="12">
        <v>13.07</v>
      </c>
      <c r="M58" s="12">
        <v>1.38</v>
      </c>
      <c r="N58" s="10">
        <v>49.29</v>
      </c>
      <c r="O58" s="41">
        <v>0</v>
      </c>
      <c r="P58" s="41">
        <v>0</v>
      </c>
    </row>
    <row r="59" spans="1:16" x14ac:dyDescent="0.35">
      <c r="A59" s="16">
        <v>46170</v>
      </c>
      <c r="B59" s="12">
        <v>2.62</v>
      </c>
      <c r="C59" s="12">
        <v>52.56</v>
      </c>
      <c r="D59" s="12">
        <v>9.1300000000000008</v>
      </c>
      <c r="E59" s="10">
        <v>2.91</v>
      </c>
      <c r="F59" s="10">
        <v>17.37</v>
      </c>
      <c r="G59" s="12">
        <v>3.66</v>
      </c>
      <c r="H59" s="12">
        <v>1.96</v>
      </c>
      <c r="I59" s="12">
        <v>0.95</v>
      </c>
      <c r="J59" s="10">
        <v>180.33</v>
      </c>
      <c r="K59" s="12">
        <v>0.93</v>
      </c>
      <c r="L59" s="12">
        <v>13.16</v>
      </c>
      <c r="M59" s="12">
        <v>1.67</v>
      </c>
      <c r="N59" s="10">
        <v>49.83</v>
      </c>
      <c r="O59" s="40">
        <v>5.08</v>
      </c>
      <c r="P59" s="40">
        <v>87.68</v>
      </c>
    </row>
    <row r="60" spans="1:16" x14ac:dyDescent="0.35">
      <c r="A60" s="16">
        <v>46171</v>
      </c>
      <c r="B60" s="12">
        <v>2.6</v>
      </c>
      <c r="C60" s="12">
        <v>52.63</v>
      </c>
      <c r="D60" s="12">
        <v>9.16</v>
      </c>
      <c r="E60" s="10">
        <v>3.07</v>
      </c>
      <c r="F60" s="10">
        <v>17.79</v>
      </c>
      <c r="G60" s="12">
        <v>3.59</v>
      </c>
      <c r="H60" s="12">
        <v>1.92</v>
      </c>
      <c r="I60" s="12">
        <v>0.89</v>
      </c>
      <c r="J60" s="10">
        <v>184.67</v>
      </c>
      <c r="K60" s="12">
        <v>0.94</v>
      </c>
      <c r="L60" s="12">
        <v>13.17</v>
      </c>
      <c r="M60" s="12">
        <v>1.48</v>
      </c>
      <c r="N60" s="10">
        <v>50.02</v>
      </c>
      <c r="O60" s="39">
        <v>5.08</v>
      </c>
      <c r="P60" s="39">
        <v>87.68</v>
      </c>
    </row>
    <row r="61" spans="1:16" x14ac:dyDescent="0.35">
      <c r="A61" s="16">
        <v>46172</v>
      </c>
      <c r="B61" s="12">
        <v>2.4700000000000002</v>
      </c>
      <c r="C61" s="12">
        <v>52.45</v>
      </c>
      <c r="D61" s="12">
        <v>9.23</v>
      </c>
      <c r="E61" s="10">
        <v>3.12</v>
      </c>
      <c r="F61" s="10">
        <v>19.010000000000002</v>
      </c>
      <c r="G61" s="12">
        <v>3.56</v>
      </c>
      <c r="H61" s="12">
        <v>1.88</v>
      </c>
      <c r="I61" s="12">
        <v>0.78</v>
      </c>
      <c r="J61" s="10">
        <v>182.5</v>
      </c>
      <c r="K61" s="12">
        <v>1</v>
      </c>
      <c r="L61" s="12">
        <v>12.99</v>
      </c>
      <c r="M61" s="12">
        <v>1.3</v>
      </c>
      <c r="N61" s="10">
        <v>50.31</v>
      </c>
      <c r="O61" s="40">
        <v>5.08</v>
      </c>
      <c r="P61" s="40">
        <v>87.68</v>
      </c>
    </row>
    <row r="62" spans="1:16" x14ac:dyDescent="0.35">
      <c r="A62" s="16">
        <v>46173</v>
      </c>
      <c r="B62" s="12">
        <v>2.5499999999999998</v>
      </c>
      <c r="C62" s="12">
        <v>52.64</v>
      </c>
      <c r="D62" s="12">
        <v>9.19</v>
      </c>
      <c r="E62" s="10">
        <v>3.1</v>
      </c>
      <c r="F62" s="10">
        <v>17.739999999999998</v>
      </c>
      <c r="G62" s="12">
        <v>3.59</v>
      </c>
      <c r="H62" s="12">
        <v>1.89</v>
      </c>
      <c r="I62" s="12">
        <v>0.96</v>
      </c>
      <c r="J62" s="10">
        <v>176.33</v>
      </c>
      <c r="K62" s="12">
        <v>0.91</v>
      </c>
      <c r="L62" s="12">
        <v>12.98</v>
      </c>
      <c r="M62" s="12">
        <v>1.55</v>
      </c>
      <c r="N62" s="10">
        <v>32.950000000000003</v>
      </c>
      <c r="O62" s="39">
        <v>5.08</v>
      </c>
      <c r="P62" s="39">
        <v>87.68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Q66"/>
  <sheetViews>
    <sheetView showGridLines="0" zoomScale="70" zoomScaleNormal="70" workbookViewId="0">
      <pane xSplit="1" ySplit="1" topLeftCell="B26" activePane="bottomRight" state="frozen"/>
      <selection pane="topRight"/>
      <selection pane="bottomLeft"/>
      <selection pane="bottomRight" activeCell="AP32" sqref="AP32"/>
    </sheetView>
  </sheetViews>
  <sheetFormatPr defaultRowHeight="14.5" x14ac:dyDescent="0.35"/>
  <cols>
    <col min="1" max="1" width="12" style="22" customWidth="1"/>
    <col min="2" max="4" width="24" style="8" customWidth="1"/>
    <col min="5" max="5" width="22" style="8" customWidth="1"/>
    <col min="6" max="6" width="14" style="8" customWidth="1"/>
    <col min="7" max="7" width="15" style="8" customWidth="1"/>
    <col min="8" max="8" width="16" style="8" customWidth="1"/>
    <col min="9" max="9" width="13" style="8" customWidth="1"/>
    <col min="10" max="10" width="24" style="8" customWidth="1"/>
    <col min="11" max="11" width="15" style="8" customWidth="1"/>
    <col min="12" max="12" width="13" style="8" customWidth="1"/>
    <col min="13" max="13" width="17" style="8" customWidth="1"/>
    <col min="14" max="15" width="24" style="8" customWidth="1"/>
    <col min="16" max="16" width="21" style="8" customWidth="1"/>
    <col min="17" max="20" width="24" style="8" customWidth="1"/>
    <col min="21" max="21" width="17" style="8" customWidth="1"/>
    <col min="22" max="23" width="18" style="8" customWidth="1"/>
    <col min="24" max="25" width="17" style="8" customWidth="1"/>
    <col min="26" max="26" width="18" style="8" customWidth="1"/>
    <col min="27" max="27" width="24" style="8" customWidth="1"/>
    <col min="28" max="28" width="15" style="8" customWidth="1"/>
    <col min="29" max="29" width="16" style="8" customWidth="1"/>
    <col min="30" max="34" width="14" style="8" customWidth="1"/>
    <col min="35" max="35" width="15" style="8" customWidth="1"/>
    <col min="36" max="36" width="13" style="8" customWidth="1"/>
    <col min="37" max="37" width="24" style="8" customWidth="1"/>
    <col min="38" max="38" width="15" style="8" customWidth="1"/>
    <col min="39" max="39" width="16" style="8" customWidth="1"/>
    <col min="40" max="40" width="15" style="8" customWidth="1"/>
    <col min="41" max="41" width="21" style="8" customWidth="1"/>
    <col min="42" max="42" width="19" style="8" customWidth="1"/>
    <col min="43" max="43" width="13.81640625" style="8" bestFit="1" customWidth="1"/>
    <col min="44" max="16384" width="8.7265625" style="8"/>
  </cols>
  <sheetData>
    <row r="1" spans="1:43" ht="42" customHeight="1" x14ac:dyDescent="0.35">
      <c r="A1" s="20" t="s">
        <v>82</v>
      </c>
      <c r="B1" s="7" t="s">
        <v>83</v>
      </c>
      <c r="C1" s="7" t="s">
        <v>84</v>
      </c>
      <c r="D1" s="7" t="s">
        <v>85</v>
      </c>
      <c r="E1" s="38" t="s">
        <v>86</v>
      </c>
      <c r="F1" s="38" t="s">
        <v>87</v>
      </c>
      <c r="G1" s="38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7" t="s">
        <v>94</v>
      </c>
      <c r="N1" s="7" t="s">
        <v>95</v>
      </c>
      <c r="O1" s="38" t="s">
        <v>134</v>
      </c>
      <c r="P1" s="7" t="s">
        <v>96</v>
      </c>
      <c r="Q1" s="38" t="s">
        <v>97</v>
      </c>
      <c r="R1" s="7" t="s">
        <v>98</v>
      </c>
      <c r="S1" s="38" t="s">
        <v>99</v>
      </c>
      <c r="T1" s="38" t="s">
        <v>100</v>
      </c>
      <c r="U1" s="7" t="s">
        <v>101</v>
      </c>
      <c r="V1" s="7" t="s">
        <v>102</v>
      </c>
      <c r="W1" s="7" t="s">
        <v>103</v>
      </c>
      <c r="X1" s="7" t="s">
        <v>104</v>
      </c>
      <c r="Y1" s="7" t="s">
        <v>105</v>
      </c>
      <c r="Z1" s="7" t="s">
        <v>106</v>
      </c>
      <c r="AA1" s="7" t="s">
        <v>107</v>
      </c>
      <c r="AB1" s="7" t="s">
        <v>108</v>
      </c>
      <c r="AC1" s="7" t="s">
        <v>109</v>
      </c>
      <c r="AD1" s="7" t="s">
        <v>110</v>
      </c>
      <c r="AE1" s="38" t="s">
        <v>111</v>
      </c>
      <c r="AF1" s="7" t="s">
        <v>112</v>
      </c>
      <c r="AG1" s="7" t="s">
        <v>113</v>
      </c>
      <c r="AH1" s="7" t="s">
        <v>114</v>
      </c>
      <c r="AI1" s="7" t="s">
        <v>115</v>
      </c>
      <c r="AJ1" s="7" t="s">
        <v>116</v>
      </c>
      <c r="AK1" s="7" t="s">
        <v>117</v>
      </c>
      <c r="AL1" s="7" t="s">
        <v>118</v>
      </c>
      <c r="AM1" s="7" t="s">
        <v>119</v>
      </c>
      <c r="AN1" s="7" t="s">
        <v>120</v>
      </c>
      <c r="AO1" s="7" t="s">
        <v>121</v>
      </c>
      <c r="AP1" s="38" t="s">
        <v>122</v>
      </c>
      <c r="AQ1" s="38" t="s">
        <v>133</v>
      </c>
    </row>
    <row r="2" spans="1:43" x14ac:dyDescent="0.35">
      <c r="A2" s="21" t="s">
        <v>123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 t="s">
        <v>124</v>
      </c>
      <c r="V2" s="14">
        <v>0.08</v>
      </c>
      <c r="W2" s="14">
        <v>0.8</v>
      </c>
      <c r="X2" s="14">
        <v>0.05</v>
      </c>
      <c r="Y2" s="14">
        <v>0.12</v>
      </c>
      <c r="Z2" s="14">
        <v>0.06</v>
      </c>
      <c r="AA2" s="13" t="s">
        <v>125</v>
      </c>
      <c r="AB2" s="14">
        <v>34</v>
      </c>
      <c r="AC2" s="14">
        <v>18.5</v>
      </c>
      <c r="AD2" s="14">
        <v>33</v>
      </c>
      <c r="AE2" s="14">
        <v>8</v>
      </c>
      <c r="AF2" s="14">
        <v>0.5</v>
      </c>
      <c r="AG2" s="13"/>
      <c r="AH2" s="13"/>
      <c r="AI2" s="13"/>
      <c r="AJ2" s="13"/>
      <c r="AK2" s="14">
        <v>0.98</v>
      </c>
      <c r="AL2" s="13"/>
      <c r="AM2" s="13"/>
      <c r="AN2" s="13"/>
      <c r="AO2" s="13"/>
      <c r="AP2" s="14">
        <v>45</v>
      </c>
      <c r="AQ2" s="43"/>
    </row>
    <row r="3" spans="1:43" x14ac:dyDescent="0.35">
      <c r="A3" s="16">
        <v>46113</v>
      </c>
      <c r="B3" s="10">
        <v>6611000</v>
      </c>
      <c r="C3" s="10">
        <v>4466880</v>
      </c>
      <c r="D3" s="12">
        <v>13472000</v>
      </c>
      <c r="E3" s="10">
        <v>2394120</v>
      </c>
      <c r="F3" s="10">
        <v>843450</v>
      </c>
      <c r="G3" s="9">
        <v>97</v>
      </c>
      <c r="H3" s="10">
        <v>441689</v>
      </c>
      <c r="I3" s="10">
        <v>1347533</v>
      </c>
      <c r="J3" s="12">
        <v>3764</v>
      </c>
      <c r="K3" s="10">
        <v>331</v>
      </c>
      <c r="L3" s="10">
        <v>0</v>
      </c>
      <c r="M3" s="10">
        <v>247</v>
      </c>
      <c r="N3" s="10">
        <v>140</v>
      </c>
      <c r="O3" s="45">
        <v>2.5099999999999998</v>
      </c>
      <c r="P3" s="15">
        <v>38</v>
      </c>
      <c r="Q3" s="15">
        <v>5</v>
      </c>
      <c r="R3" s="15">
        <v>3</v>
      </c>
      <c r="S3" s="15">
        <v>8</v>
      </c>
      <c r="T3" s="15">
        <v>0</v>
      </c>
      <c r="U3" s="12">
        <v>4.25</v>
      </c>
      <c r="V3" s="12">
        <v>0.19</v>
      </c>
      <c r="W3" s="12">
        <v>0.59</v>
      </c>
      <c r="X3" s="12">
        <v>0.03</v>
      </c>
      <c r="Y3" s="12">
        <v>0.1</v>
      </c>
      <c r="Z3" s="12">
        <v>0.06</v>
      </c>
      <c r="AA3" s="10">
        <v>1450</v>
      </c>
      <c r="AB3" s="12">
        <v>33.15</v>
      </c>
      <c r="AC3" s="12">
        <v>17.59</v>
      </c>
      <c r="AD3" s="12">
        <v>38.49</v>
      </c>
      <c r="AE3" s="12">
        <v>7.43</v>
      </c>
      <c r="AF3" s="12">
        <v>0.45</v>
      </c>
      <c r="AG3" s="12">
        <v>0.24</v>
      </c>
      <c r="AH3" s="12">
        <v>0.68</v>
      </c>
      <c r="AI3" s="12">
        <v>0.71</v>
      </c>
      <c r="AJ3" s="12">
        <v>0.81</v>
      </c>
      <c r="AK3" s="12">
        <v>1.1599999999999999</v>
      </c>
      <c r="AL3" s="12">
        <v>24.62</v>
      </c>
      <c r="AM3" s="12">
        <v>22.88</v>
      </c>
      <c r="AN3" s="12">
        <v>4.78</v>
      </c>
      <c r="AO3" s="12">
        <v>1.08</v>
      </c>
      <c r="AP3" s="12">
        <v>48.17</v>
      </c>
      <c r="AQ3" s="18">
        <v>2269</v>
      </c>
    </row>
    <row r="4" spans="1:43" x14ac:dyDescent="0.35">
      <c r="A4" s="16">
        <v>46114</v>
      </c>
      <c r="B4" s="10">
        <v>6438000</v>
      </c>
      <c r="C4" s="10">
        <v>4360150</v>
      </c>
      <c r="D4" s="12">
        <v>13231000</v>
      </c>
      <c r="E4" s="10">
        <v>2432850</v>
      </c>
      <c r="F4" s="10">
        <v>864312</v>
      </c>
      <c r="G4" s="9">
        <v>53</v>
      </c>
      <c r="H4" s="10">
        <v>409373</v>
      </c>
      <c r="I4" s="10">
        <v>1340219</v>
      </c>
      <c r="J4" s="12">
        <v>3728</v>
      </c>
      <c r="K4" s="10">
        <v>505</v>
      </c>
      <c r="L4" s="10">
        <v>0</v>
      </c>
      <c r="M4" s="10">
        <v>134</v>
      </c>
      <c r="N4" s="10">
        <v>140</v>
      </c>
      <c r="O4" s="45">
        <v>2.52</v>
      </c>
      <c r="P4" s="15">
        <v>37</v>
      </c>
      <c r="Q4" s="15">
        <v>5</v>
      </c>
      <c r="R4" s="15">
        <v>2</v>
      </c>
      <c r="S4" s="15">
        <v>7</v>
      </c>
      <c r="T4" s="15">
        <v>0</v>
      </c>
      <c r="U4" s="12">
        <v>4.26</v>
      </c>
      <c r="V4" s="12">
        <v>0.17</v>
      </c>
      <c r="W4" s="12">
        <v>0.48</v>
      </c>
      <c r="X4" s="12">
        <v>0.05</v>
      </c>
      <c r="Y4" s="12">
        <v>0.1</v>
      </c>
      <c r="Z4" s="12">
        <v>0.04</v>
      </c>
      <c r="AA4" s="9">
        <v>0</v>
      </c>
      <c r="AB4" s="12">
        <v>34.14</v>
      </c>
      <c r="AC4" s="12">
        <v>17.78</v>
      </c>
      <c r="AD4" s="12">
        <v>36.909999999999997</v>
      </c>
      <c r="AE4" s="12">
        <v>7.45</v>
      </c>
      <c r="AF4" s="12">
        <v>0.5</v>
      </c>
      <c r="AG4" s="12">
        <v>0.34</v>
      </c>
      <c r="AH4" s="12">
        <v>0.76</v>
      </c>
      <c r="AI4" s="12">
        <v>0.83</v>
      </c>
      <c r="AJ4" s="12">
        <v>0.73</v>
      </c>
      <c r="AK4" s="12">
        <v>1.08</v>
      </c>
      <c r="AL4" s="12">
        <v>23.8</v>
      </c>
      <c r="AM4" s="12">
        <v>22.2</v>
      </c>
      <c r="AN4" s="12">
        <v>4.9000000000000004</v>
      </c>
      <c r="AO4" s="12">
        <v>1.07</v>
      </c>
      <c r="AP4" s="12">
        <v>48.26</v>
      </c>
      <c r="AQ4" s="18">
        <v>2282</v>
      </c>
    </row>
    <row r="5" spans="1:43" x14ac:dyDescent="0.35">
      <c r="A5" s="16">
        <v>46115</v>
      </c>
      <c r="B5" s="10">
        <v>4613000</v>
      </c>
      <c r="C5" s="10">
        <v>5771660</v>
      </c>
      <c r="D5" s="12">
        <v>11077000</v>
      </c>
      <c r="E5" s="10">
        <v>692340</v>
      </c>
      <c r="F5" s="10">
        <v>629819</v>
      </c>
      <c r="G5" s="9">
        <v>256</v>
      </c>
      <c r="H5" s="10">
        <v>575093</v>
      </c>
      <c r="I5" s="10">
        <v>1316473</v>
      </c>
      <c r="J5" s="12">
        <v>2647</v>
      </c>
      <c r="K5" s="10">
        <v>402</v>
      </c>
      <c r="L5" s="10">
        <v>0</v>
      </c>
      <c r="M5" s="10">
        <v>114</v>
      </c>
      <c r="N5" s="10">
        <v>165</v>
      </c>
      <c r="O5" s="45">
        <v>2.3199999999999998</v>
      </c>
      <c r="P5" s="15">
        <v>29</v>
      </c>
      <c r="Q5" s="15">
        <v>5</v>
      </c>
      <c r="R5" s="15">
        <v>3</v>
      </c>
      <c r="S5" s="15">
        <v>8</v>
      </c>
      <c r="T5" s="15">
        <v>0</v>
      </c>
      <c r="U5" s="12">
        <v>4.2699999999999996</v>
      </c>
      <c r="V5" s="12">
        <v>0.16</v>
      </c>
      <c r="W5" s="12">
        <v>0.53</v>
      </c>
      <c r="X5" s="12">
        <v>0.05</v>
      </c>
      <c r="Y5" s="12">
        <v>0.11</v>
      </c>
      <c r="Z5" s="12">
        <v>0.04</v>
      </c>
      <c r="AA5" s="9">
        <v>0</v>
      </c>
      <c r="AB5" s="12">
        <v>34.18</v>
      </c>
      <c r="AC5" s="12">
        <v>18.59</v>
      </c>
      <c r="AD5" s="12">
        <v>36.33</v>
      </c>
      <c r="AE5" s="12">
        <v>7.22</v>
      </c>
      <c r="AF5" s="12">
        <v>0.51</v>
      </c>
      <c r="AG5" s="12">
        <v>0.35</v>
      </c>
      <c r="AH5" s="12">
        <v>0.68</v>
      </c>
      <c r="AI5" s="12">
        <v>0.84</v>
      </c>
      <c r="AJ5" s="12">
        <v>0.69</v>
      </c>
      <c r="AK5" s="12">
        <v>1.06</v>
      </c>
      <c r="AL5" s="12">
        <v>20.99</v>
      </c>
      <c r="AM5" s="12">
        <v>19.87</v>
      </c>
      <c r="AN5" s="12">
        <v>4.97</v>
      </c>
      <c r="AO5" s="12">
        <v>1.06</v>
      </c>
      <c r="AP5" s="12">
        <v>48.63</v>
      </c>
      <c r="AQ5" s="18">
        <v>2261</v>
      </c>
    </row>
    <row r="6" spans="1:43" x14ac:dyDescent="0.35">
      <c r="A6" s="16">
        <v>46116</v>
      </c>
      <c r="B6" s="10">
        <v>4967000</v>
      </c>
      <c r="C6" s="10">
        <v>3603500</v>
      </c>
      <c r="D6" s="12">
        <v>10337000</v>
      </c>
      <c r="E6" s="10">
        <v>1766500</v>
      </c>
      <c r="F6" s="10">
        <v>415677</v>
      </c>
      <c r="G6" s="9">
        <v>429</v>
      </c>
      <c r="H6" s="10">
        <v>560393</v>
      </c>
      <c r="I6" s="10">
        <v>1240166</v>
      </c>
      <c r="J6" s="12">
        <v>2626</v>
      </c>
      <c r="K6" s="10">
        <v>419</v>
      </c>
      <c r="L6" s="10">
        <v>0</v>
      </c>
      <c r="M6" s="10">
        <v>70</v>
      </c>
      <c r="N6" s="10">
        <v>149</v>
      </c>
      <c r="O6" s="45">
        <v>2.19</v>
      </c>
      <c r="P6" s="15">
        <v>29</v>
      </c>
      <c r="Q6" s="15">
        <v>4</v>
      </c>
      <c r="R6" s="15">
        <v>3</v>
      </c>
      <c r="S6" s="15">
        <v>7</v>
      </c>
      <c r="T6" s="15">
        <v>0</v>
      </c>
      <c r="U6" s="12">
        <v>4.25</v>
      </c>
      <c r="V6" s="12">
        <v>0.19</v>
      </c>
      <c r="W6" s="12">
        <v>0.7</v>
      </c>
      <c r="X6" s="12">
        <v>0.04</v>
      </c>
      <c r="Y6" s="12">
        <v>0.1</v>
      </c>
      <c r="Z6" s="12">
        <v>0.06</v>
      </c>
      <c r="AA6" s="9">
        <v>0</v>
      </c>
      <c r="AB6" s="12">
        <v>32.61</v>
      </c>
      <c r="AC6" s="12">
        <v>18.71</v>
      </c>
      <c r="AD6" s="12">
        <v>36.82</v>
      </c>
      <c r="AE6" s="12">
        <v>8.14</v>
      </c>
      <c r="AF6" s="12">
        <v>0.43</v>
      </c>
      <c r="AG6" s="12">
        <v>0.3</v>
      </c>
      <c r="AH6" s="12">
        <v>0.62</v>
      </c>
      <c r="AI6" s="12">
        <v>0.76</v>
      </c>
      <c r="AJ6" s="12">
        <v>0.8</v>
      </c>
      <c r="AK6" s="12">
        <v>1.1299999999999999</v>
      </c>
      <c r="AL6" s="12">
        <v>23.18</v>
      </c>
      <c r="AM6" s="12">
        <v>21.35</v>
      </c>
      <c r="AN6" s="12">
        <v>4.33</v>
      </c>
      <c r="AO6" s="12">
        <v>1.0900000000000001</v>
      </c>
      <c r="AP6" s="12">
        <v>47.95</v>
      </c>
      <c r="AQ6" s="18">
        <v>2265</v>
      </c>
    </row>
    <row r="7" spans="1:43" x14ac:dyDescent="0.35">
      <c r="A7" s="16">
        <v>46117</v>
      </c>
      <c r="B7" s="10">
        <v>6363000</v>
      </c>
      <c r="C7" s="10">
        <v>4045535</v>
      </c>
      <c r="D7" s="12">
        <v>12881000</v>
      </c>
      <c r="E7" s="10">
        <v>2472465</v>
      </c>
      <c r="F7" s="10">
        <v>754320</v>
      </c>
      <c r="G7" s="9">
        <v>103</v>
      </c>
      <c r="H7" s="10">
        <v>536565</v>
      </c>
      <c r="I7" s="10">
        <v>1349988</v>
      </c>
      <c r="J7" s="12">
        <v>3525</v>
      </c>
      <c r="K7" s="10">
        <v>69</v>
      </c>
      <c r="L7" s="10">
        <v>0</v>
      </c>
      <c r="M7" s="10">
        <v>302</v>
      </c>
      <c r="N7" s="10">
        <v>129</v>
      </c>
      <c r="O7" s="45">
        <v>2.4700000000000002</v>
      </c>
      <c r="P7" s="15">
        <v>33</v>
      </c>
      <c r="Q7" s="15">
        <v>3</v>
      </c>
      <c r="R7" s="15">
        <v>4</v>
      </c>
      <c r="S7" s="15">
        <v>6</v>
      </c>
      <c r="T7" s="15">
        <v>1</v>
      </c>
      <c r="U7" s="12">
        <v>4.26</v>
      </c>
      <c r="V7" s="12">
        <v>0.19</v>
      </c>
      <c r="W7" s="12">
        <v>0.66</v>
      </c>
      <c r="X7" s="12">
        <v>0.04</v>
      </c>
      <c r="Y7" s="12">
        <v>0.12</v>
      </c>
      <c r="Z7" s="12">
        <v>0.06</v>
      </c>
      <c r="AA7" s="9">
        <v>0</v>
      </c>
      <c r="AB7" s="12">
        <v>33.54</v>
      </c>
      <c r="AC7" s="12">
        <v>19.96</v>
      </c>
      <c r="AD7" s="12">
        <v>34.630000000000003</v>
      </c>
      <c r="AE7" s="12">
        <v>8.35</v>
      </c>
      <c r="AF7" s="12">
        <v>0.48</v>
      </c>
      <c r="AG7" s="12">
        <v>0.32</v>
      </c>
      <c r="AH7" s="12">
        <v>0.64</v>
      </c>
      <c r="AI7" s="12">
        <v>0.8</v>
      </c>
      <c r="AJ7" s="12">
        <v>0.72</v>
      </c>
      <c r="AK7" s="12">
        <v>1.03</v>
      </c>
      <c r="AL7" s="12">
        <v>24.13</v>
      </c>
      <c r="AM7" s="12">
        <v>22.43</v>
      </c>
      <c r="AN7" s="12">
        <v>5.51</v>
      </c>
      <c r="AO7" s="12">
        <v>1.08</v>
      </c>
      <c r="AP7" s="12">
        <v>48.17</v>
      </c>
      <c r="AQ7" s="18">
        <v>2336</v>
      </c>
    </row>
    <row r="8" spans="1:43" x14ac:dyDescent="0.35">
      <c r="A8" s="16">
        <v>46118</v>
      </c>
      <c r="B8" s="10">
        <v>4997000</v>
      </c>
      <c r="C8" s="10">
        <v>3434377</v>
      </c>
      <c r="D8" s="12">
        <v>10413000</v>
      </c>
      <c r="E8" s="10">
        <v>1981623</v>
      </c>
      <c r="F8" s="10">
        <v>680282</v>
      </c>
      <c r="G8" s="9">
        <v>9</v>
      </c>
      <c r="H8" s="10">
        <v>469586</v>
      </c>
      <c r="I8" s="10">
        <v>1067620</v>
      </c>
      <c r="J8" s="12">
        <v>3021</v>
      </c>
      <c r="K8" s="10">
        <v>0</v>
      </c>
      <c r="L8" s="10">
        <v>0</v>
      </c>
      <c r="M8" s="10">
        <v>229</v>
      </c>
      <c r="N8" s="10">
        <v>117</v>
      </c>
      <c r="O8" s="45">
        <v>1.64</v>
      </c>
      <c r="P8" s="15">
        <v>30</v>
      </c>
      <c r="Q8" s="15">
        <v>0</v>
      </c>
      <c r="R8" s="15">
        <v>0</v>
      </c>
      <c r="S8" s="15">
        <v>0</v>
      </c>
      <c r="T8" s="15">
        <v>0</v>
      </c>
      <c r="U8" s="12">
        <v>4.26</v>
      </c>
      <c r="V8" s="12">
        <v>0.19</v>
      </c>
      <c r="W8" s="12">
        <v>0.52</v>
      </c>
      <c r="X8" s="12">
        <v>0.05</v>
      </c>
      <c r="Y8" s="12">
        <v>0.11</v>
      </c>
      <c r="Z8" s="12">
        <v>0.05</v>
      </c>
      <c r="AA8" s="9">
        <v>0</v>
      </c>
      <c r="AB8" s="12">
        <v>34.17</v>
      </c>
      <c r="AC8" s="12">
        <v>18.809999999999999</v>
      </c>
      <c r="AD8" s="12">
        <v>34.950000000000003</v>
      </c>
      <c r="AE8" s="12">
        <v>8.4499999999999993</v>
      </c>
      <c r="AF8" s="12">
        <v>0.56999999999999995</v>
      </c>
      <c r="AG8" s="12">
        <v>0.33</v>
      </c>
      <c r="AH8" s="12">
        <v>0.69</v>
      </c>
      <c r="AI8" s="12">
        <v>0.77</v>
      </c>
      <c r="AJ8" s="12">
        <v>0.67</v>
      </c>
      <c r="AK8" s="12">
        <v>1.02</v>
      </c>
      <c r="AL8" s="12">
        <v>3.01</v>
      </c>
      <c r="AM8" s="12">
        <v>6.88</v>
      </c>
      <c r="AN8" s="12">
        <v>4.2300000000000004</v>
      </c>
      <c r="AO8" s="12">
        <v>0.44</v>
      </c>
      <c r="AP8" s="12">
        <v>69.569999999999993</v>
      </c>
      <c r="AQ8" s="18">
        <v>1979</v>
      </c>
    </row>
    <row r="9" spans="1:43" x14ac:dyDescent="0.35">
      <c r="A9" s="16">
        <v>46119</v>
      </c>
      <c r="B9" s="10">
        <v>2143000</v>
      </c>
      <c r="C9" s="10">
        <v>1048000</v>
      </c>
      <c r="D9" s="12">
        <v>3564375</v>
      </c>
      <c r="E9" s="10">
        <v>373375</v>
      </c>
      <c r="F9" s="10">
        <v>24000</v>
      </c>
      <c r="G9" s="9"/>
      <c r="H9" s="10">
        <v>228236</v>
      </c>
      <c r="I9" s="10">
        <v>276415</v>
      </c>
      <c r="J9" s="12">
        <v>0</v>
      </c>
      <c r="K9" s="10">
        <v>0</v>
      </c>
      <c r="L9" s="10">
        <v>0</v>
      </c>
      <c r="M9" s="10">
        <v>0</v>
      </c>
      <c r="N9" s="10">
        <v>0</v>
      </c>
      <c r="O9" s="4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9"/>
      <c r="V9" s="9"/>
      <c r="W9" s="9"/>
      <c r="X9" s="9"/>
      <c r="Y9" s="9"/>
      <c r="Z9" s="9"/>
      <c r="AA9" s="9">
        <v>0</v>
      </c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18">
        <v>0</v>
      </c>
    </row>
    <row r="10" spans="1:43" x14ac:dyDescent="0.35">
      <c r="A10" s="16">
        <v>46120</v>
      </c>
      <c r="B10" s="10">
        <v>6408000</v>
      </c>
      <c r="C10" s="10">
        <v>1199450</v>
      </c>
      <c r="D10" s="12">
        <v>10607000</v>
      </c>
      <c r="E10" s="10">
        <v>2999550</v>
      </c>
      <c r="F10" s="10">
        <v>501569</v>
      </c>
      <c r="G10" s="9"/>
      <c r="H10" s="10">
        <v>466632</v>
      </c>
      <c r="I10" s="10">
        <v>1227027</v>
      </c>
      <c r="J10" s="12">
        <v>2531</v>
      </c>
      <c r="K10" s="10">
        <v>0</v>
      </c>
      <c r="L10" s="10">
        <v>67</v>
      </c>
      <c r="M10" s="10">
        <v>257</v>
      </c>
      <c r="N10" s="10">
        <v>155</v>
      </c>
      <c r="O10" s="45">
        <v>2.15</v>
      </c>
      <c r="P10" s="15">
        <v>27</v>
      </c>
      <c r="Q10" s="15">
        <v>2</v>
      </c>
      <c r="R10" s="15">
        <v>5</v>
      </c>
      <c r="S10" s="15">
        <v>3</v>
      </c>
      <c r="T10" s="15">
        <v>4</v>
      </c>
      <c r="U10" s="12">
        <v>4.26</v>
      </c>
      <c r="V10" s="12">
        <v>0.19</v>
      </c>
      <c r="W10" s="12">
        <v>0.49</v>
      </c>
      <c r="X10" s="12">
        <v>0.06</v>
      </c>
      <c r="Y10" s="12">
        <v>0.12</v>
      </c>
      <c r="Z10" s="12">
        <v>0.04</v>
      </c>
      <c r="AA10" s="9">
        <v>0</v>
      </c>
      <c r="AB10" s="12">
        <v>34.06</v>
      </c>
      <c r="AC10" s="12">
        <v>18.14</v>
      </c>
      <c r="AD10" s="12">
        <v>35.76</v>
      </c>
      <c r="AE10" s="12">
        <v>8.1300000000000008</v>
      </c>
      <c r="AF10" s="12">
        <v>0.69</v>
      </c>
      <c r="AG10" s="12">
        <v>0.45</v>
      </c>
      <c r="AH10" s="12">
        <v>0.7</v>
      </c>
      <c r="AI10" s="12">
        <v>0.78</v>
      </c>
      <c r="AJ10" s="12">
        <v>0.65</v>
      </c>
      <c r="AK10" s="12">
        <v>1.05</v>
      </c>
      <c r="AL10" s="12">
        <v>22.07</v>
      </c>
      <c r="AM10" s="12">
        <v>19.75</v>
      </c>
      <c r="AN10" s="12">
        <v>4.72</v>
      </c>
      <c r="AO10" s="12">
        <v>1.1200000000000001</v>
      </c>
      <c r="AP10" s="12">
        <v>47.23</v>
      </c>
      <c r="AQ10" s="18">
        <v>2237</v>
      </c>
    </row>
    <row r="11" spans="1:43" x14ac:dyDescent="0.35">
      <c r="A11" s="16">
        <v>46121</v>
      </c>
      <c r="B11" s="10">
        <v>7432000</v>
      </c>
      <c r="C11" s="10">
        <v>1588802</v>
      </c>
      <c r="D11" s="12">
        <v>12945000</v>
      </c>
      <c r="E11" s="10">
        <v>3924198</v>
      </c>
      <c r="F11" s="10">
        <v>764880</v>
      </c>
      <c r="G11" s="9"/>
      <c r="H11" s="10">
        <v>464103</v>
      </c>
      <c r="I11" s="10">
        <v>1325377</v>
      </c>
      <c r="J11" s="12">
        <v>3531</v>
      </c>
      <c r="K11" s="10">
        <v>0</v>
      </c>
      <c r="L11" s="10">
        <v>0</v>
      </c>
      <c r="M11" s="10">
        <v>351</v>
      </c>
      <c r="N11" s="10">
        <v>150</v>
      </c>
      <c r="O11" s="45">
        <v>2.54</v>
      </c>
      <c r="P11" s="15">
        <v>35</v>
      </c>
      <c r="Q11" s="15">
        <v>5</v>
      </c>
      <c r="R11" s="15">
        <v>2</v>
      </c>
      <c r="S11" s="15">
        <v>4</v>
      </c>
      <c r="T11" s="15">
        <v>4</v>
      </c>
      <c r="U11" s="12">
        <v>4.26</v>
      </c>
      <c r="V11" s="12">
        <v>0.22</v>
      </c>
      <c r="W11" s="12">
        <v>0.68</v>
      </c>
      <c r="X11" s="12">
        <v>0.04</v>
      </c>
      <c r="Y11" s="12">
        <v>0.11</v>
      </c>
      <c r="Z11" s="12">
        <v>0.06</v>
      </c>
      <c r="AA11" s="10">
        <v>1474</v>
      </c>
      <c r="AB11" s="12">
        <v>34.89</v>
      </c>
      <c r="AC11" s="12">
        <v>17.82</v>
      </c>
      <c r="AD11" s="12">
        <v>35.29</v>
      </c>
      <c r="AE11" s="12">
        <v>8.8000000000000007</v>
      </c>
      <c r="AF11" s="12">
        <v>0.5</v>
      </c>
      <c r="AG11" s="12">
        <v>0.32</v>
      </c>
      <c r="AH11" s="12">
        <v>0.59</v>
      </c>
      <c r="AI11" s="12">
        <v>0.72</v>
      </c>
      <c r="AJ11" s="12">
        <v>0.77</v>
      </c>
      <c r="AK11" s="12">
        <v>1.01</v>
      </c>
      <c r="AL11" s="12">
        <v>23.47</v>
      </c>
      <c r="AM11" s="12">
        <v>21.91</v>
      </c>
      <c r="AN11" s="12">
        <v>4.6100000000000003</v>
      </c>
      <c r="AO11" s="12">
        <v>1.07</v>
      </c>
      <c r="AP11" s="12">
        <v>48.28</v>
      </c>
      <c r="AQ11" s="18">
        <v>2270</v>
      </c>
    </row>
    <row r="12" spans="1:43" x14ac:dyDescent="0.35">
      <c r="A12" s="16">
        <v>46122</v>
      </c>
      <c r="B12" s="10">
        <v>7270000</v>
      </c>
      <c r="C12" s="10">
        <v>1412544</v>
      </c>
      <c r="D12" s="12">
        <v>12786000</v>
      </c>
      <c r="E12" s="10">
        <v>4103456</v>
      </c>
      <c r="F12" s="10">
        <v>813304</v>
      </c>
      <c r="G12" s="9"/>
      <c r="H12" s="10">
        <v>410000</v>
      </c>
      <c r="I12" s="10">
        <v>1313174</v>
      </c>
      <c r="J12" s="12">
        <v>3488</v>
      </c>
      <c r="K12" s="9"/>
      <c r="L12" s="10">
        <v>0</v>
      </c>
      <c r="M12" s="10">
        <v>284</v>
      </c>
      <c r="N12" s="10">
        <v>143</v>
      </c>
      <c r="O12" s="45">
        <v>2.4700000000000002</v>
      </c>
      <c r="P12" s="15">
        <v>37</v>
      </c>
      <c r="Q12" s="15">
        <v>7</v>
      </c>
      <c r="R12" s="15">
        <v>0</v>
      </c>
      <c r="S12" s="15">
        <v>5</v>
      </c>
      <c r="T12" s="15">
        <v>3</v>
      </c>
      <c r="U12" s="12">
        <v>4.26</v>
      </c>
      <c r="V12" s="12">
        <v>0.19</v>
      </c>
      <c r="W12" s="12">
        <v>0.44</v>
      </c>
      <c r="X12" s="12">
        <v>0.06</v>
      </c>
      <c r="Y12" s="12">
        <v>0.12</v>
      </c>
      <c r="Z12" s="12">
        <v>0.04</v>
      </c>
      <c r="AA12" s="10">
        <v>1474</v>
      </c>
      <c r="AB12" s="12">
        <v>34.78</v>
      </c>
      <c r="AC12" s="12">
        <v>18</v>
      </c>
      <c r="AD12" s="12">
        <v>35.229999999999997</v>
      </c>
      <c r="AE12" s="12">
        <v>8.18</v>
      </c>
      <c r="AF12" s="12">
        <v>0.59</v>
      </c>
      <c r="AG12" s="12">
        <v>0.42</v>
      </c>
      <c r="AH12" s="12">
        <v>0.68</v>
      </c>
      <c r="AI12" s="12">
        <v>0.84</v>
      </c>
      <c r="AJ12" s="12">
        <v>0.64</v>
      </c>
      <c r="AK12" s="12">
        <v>1.01</v>
      </c>
      <c r="AL12" s="12">
        <v>0.48</v>
      </c>
      <c r="AM12" s="12">
        <v>0.32</v>
      </c>
      <c r="AN12" s="12">
        <v>5.85</v>
      </c>
      <c r="AO12" s="12">
        <v>1.51</v>
      </c>
      <c r="AP12" s="12">
        <v>39.82</v>
      </c>
      <c r="AQ12" s="18">
        <v>2221</v>
      </c>
    </row>
    <row r="13" spans="1:43" x14ac:dyDescent="0.35">
      <c r="A13" s="16">
        <v>46123</v>
      </c>
      <c r="B13" s="10">
        <v>6504000</v>
      </c>
      <c r="C13" s="10">
        <v>2858431</v>
      </c>
      <c r="D13" s="12">
        <v>12497000</v>
      </c>
      <c r="E13" s="10">
        <v>3134569</v>
      </c>
      <c r="F13" s="10">
        <v>832432</v>
      </c>
      <c r="G13" s="9"/>
      <c r="H13" s="10">
        <v>509648</v>
      </c>
      <c r="I13" s="10">
        <v>1295922</v>
      </c>
      <c r="J13" s="12">
        <v>3164</v>
      </c>
      <c r="K13" s="10">
        <v>0</v>
      </c>
      <c r="L13" s="10">
        <v>0</v>
      </c>
      <c r="M13" s="10">
        <v>208</v>
      </c>
      <c r="N13" s="10">
        <v>154</v>
      </c>
      <c r="O13" s="45">
        <v>2.4300000000000002</v>
      </c>
      <c r="P13" s="15">
        <v>35</v>
      </c>
      <c r="Q13" s="15">
        <v>8</v>
      </c>
      <c r="R13" s="15">
        <v>0</v>
      </c>
      <c r="S13" s="15">
        <v>5</v>
      </c>
      <c r="T13" s="15">
        <v>3</v>
      </c>
      <c r="U13" s="12">
        <v>4.25</v>
      </c>
      <c r="V13" s="12">
        <v>0.13</v>
      </c>
      <c r="W13" s="12">
        <v>0.38</v>
      </c>
      <c r="X13" s="12">
        <v>0.09</v>
      </c>
      <c r="Y13" s="12">
        <v>0.11</v>
      </c>
      <c r="Z13" s="12">
        <v>0.03</v>
      </c>
      <c r="AA13" s="10">
        <v>1454</v>
      </c>
      <c r="AB13" s="12">
        <v>36.049999999999997</v>
      </c>
      <c r="AC13" s="12">
        <v>17.27</v>
      </c>
      <c r="AD13" s="12">
        <v>34.35</v>
      </c>
      <c r="AE13" s="12">
        <v>8.09</v>
      </c>
      <c r="AF13" s="12">
        <v>0.88</v>
      </c>
      <c r="AG13" s="12">
        <v>0.49</v>
      </c>
      <c r="AH13" s="12">
        <v>0.75</v>
      </c>
      <c r="AI13" s="12">
        <v>0.9</v>
      </c>
      <c r="AJ13" s="12">
        <v>0.53</v>
      </c>
      <c r="AK13" s="12">
        <v>0.95</v>
      </c>
      <c r="AL13" s="12">
        <v>22.47</v>
      </c>
      <c r="AM13" s="12">
        <v>18.68</v>
      </c>
      <c r="AN13" s="12">
        <v>4.62</v>
      </c>
      <c r="AO13" s="12">
        <v>1.2</v>
      </c>
      <c r="AP13" s="12">
        <v>45.39</v>
      </c>
      <c r="AQ13" s="18">
        <v>2208</v>
      </c>
    </row>
    <row r="14" spans="1:43" x14ac:dyDescent="0.35">
      <c r="A14" s="16">
        <v>46124</v>
      </c>
      <c r="B14" s="10">
        <v>5606000</v>
      </c>
      <c r="C14" s="10">
        <v>2810885</v>
      </c>
      <c r="D14" s="12">
        <v>11240000</v>
      </c>
      <c r="E14" s="10">
        <v>2823115</v>
      </c>
      <c r="F14" s="10">
        <v>599218</v>
      </c>
      <c r="G14" s="9"/>
      <c r="H14" s="10">
        <v>502043</v>
      </c>
      <c r="I14" s="10">
        <v>1215954</v>
      </c>
      <c r="J14" s="12">
        <v>2572</v>
      </c>
      <c r="K14" s="10">
        <v>0</v>
      </c>
      <c r="L14" s="10">
        <v>0</v>
      </c>
      <c r="M14" s="10">
        <v>162</v>
      </c>
      <c r="N14" s="10">
        <v>153</v>
      </c>
      <c r="O14" s="45">
        <v>2.2999999999999998</v>
      </c>
      <c r="P14" s="15">
        <v>28</v>
      </c>
      <c r="Q14" s="15">
        <v>8</v>
      </c>
      <c r="R14" s="15">
        <v>0</v>
      </c>
      <c r="S14" s="15">
        <v>5</v>
      </c>
      <c r="T14" s="15">
        <v>2</v>
      </c>
      <c r="U14" s="12">
        <v>4.25</v>
      </c>
      <c r="V14" s="12">
        <v>0.16</v>
      </c>
      <c r="W14" s="12">
        <v>0.56999999999999995</v>
      </c>
      <c r="X14" s="12">
        <v>0.06</v>
      </c>
      <c r="Y14" s="12">
        <v>0.12</v>
      </c>
      <c r="Z14" s="12">
        <v>0.04</v>
      </c>
      <c r="AA14" s="10">
        <v>1467</v>
      </c>
      <c r="AB14" s="12">
        <v>35.450000000000003</v>
      </c>
      <c r="AC14" s="12">
        <v>18.059999999999999</v>
      </c>
      <c r="AD14" s="12">
        <v>35.31</v>
      </c>
      <c r="AE14" s="12">
        <v>7.34</v>
      </c>
      <c r="AF14" s="12">
        <v>0.7</v>
      </c>
      <c r="AG14" s="12">
        <v>0.42</v>
      </c>
      <c r="AH14" s="12">
        <v>0.63</v>
      </c>
      <c r="AI14" s="12">
        <v>0.84</v>
      </c>
      <c r="AJ14" s="12">
        <v>0.63</v>
      </c>
      <c r="AK14" s="12">
        <v>1</v>
      </c>
      <c r="AL14" s="12">
        <v>23.3</v>
      </c>
      <c r="AM14" s="12">
        <v>20.72</v>
      </c>
      <c r="AN14" s="12">
        <v>5.23</v>
      </c>
      <c r="AO14" s="12">
        <v>1.1200000000000001</v>
      </c>
      <c r="AP14" s="12">
        <v>47.07</v>
      </c>
      <c r="AQ14" s="18">
        <v>2232</v>
      </c>
    </row>
    <row r="15" spans="1:43" x14ac:dyDescent="0.35">
      <c r="A15" s="16">
        <v>46125</v>
      </c>
      <c r="B15" s="10">
        <v>6736000</v>
      </c>
      <c r="C15" s="10">
        <v>2746118</v>
      </c>
      <c r="D15" s="12">
        <v>12767000</v>
      </c>
      <c r="E15" s="10">
        <v>3284882</v>
      </c>
      <c r="F15" s="10">
        <v>859395</v>
      </c>
      <c r="G15" s="9">
        <v>57</v>
      </c>
      <c r="H15" s="10">
        <v>442362</v>
      </c>
      <c r="I15" s="10">
        <v>1252759</v>
      </c>
      <c r="J15" s="12">
        <v>3447</v>
      </c>
      <c r="K15" s="10">
        <v>0</v>
      </c>
      <c r="L15" s="10">
        <v>0</v>
      </c>
      <c r="M15" s="10">
        <v>198</v>
      </c>
      <c r="N15" s="10">
        <v>160</v>
      </c>
      <c r="O15" s="45">
        <v>2.5</v>
      </c>
      <c r="P15" s="15">
        <v>36</v>
      </c>
      <c r="Q15" s="15">
        <v>9</v>
      </c>
      <c r="R15" s="15">
        <v>0</v>
      </c>
      <c r="S15" s="15">
        <v>5</v>
      </c>
      <c r="T15" s="15">
        <v>3</v>
      </c>
      <c r="U15" s="12">
        <v>4.26</v>
      </c>
      <c r="V15" s="12">
        <v>0.2</v>
      </c>
      <c r="W15" s="12">
        <v>0.54</v>
      </c>
      <c r="X15" s="12">
        <v>0.04</v>
      </c>
      <c r="Y15" s="12">
        <v>0.11</v>
      </c>
      <c r="Z15" s="12">
        <v>0.05</v>
      </c>
      <c r="AA15" s="10">
        <v>1489</v>
      </c>
      <c r="AB15" s="12">
        <v>33.270000000000003</v>
      </c>
      <c r="AC15" s="12">
        <v>17.38</v>
      </c>
      <c r="AD15" s="12">
        <v>38.270000000000003</v>
      </c>
      <c r="AE15" s="12">
        <v>7.91</v>
      </c>
      <c r="AF15" s="12">
        <v>0.44</v>
      </c>
      <c r="AG15" s="12">
        <v>0.41</v>
      </c>
      <c r="AH15" s="12">
        <v>0.5</v>
      </c>
      <c r="AI15" s="12">
        <v>0.66</v>
      </c>
      <c r="AJ15" s="12">
        <v>0.8</v>
      </c>
      <c r="AK15" s="12">
        <v>1.1499999999999999</v>
      </c>
      <c r="AL15" s="12">
        <v>24.08</v>
      </c>
      <c r="AM15" s="12">
        <v>20.59</v>
      </c>
      <c r="AN15" s="12">
        <v>6.28</v>
      </c>
      <c r="AO15" s="12">
        <v>1.17</v>
      </c>
      <c r="AP15" s="12">
        <v>46.09</v>
      </c>
      <c r="AQ15" s="18">
        <v>2281</v>
      </c>
    </row>
    <row r="16" spans="1:43" x14ac:dyDescent="0.35">
      <c r="A16" s="16">
        <v>46126</v>
      </c>
      <c r="B16" s="10">
        <v>6879000</v>
      </c>
      <c r="C16" s="10">
        <v>3058443</v>
      </c>
      <c r="D16" s="12">
        <v>12961000</v>
      </c>
      <c r="E16" s="10">
        <v>3023557</v>
      </c>
      <c r="F16" s="10">
        <v>883101</v>
      </c>
      <c r="G16" s="9">
        <v>47</v>
      </c>
      <c r="H16" s="10">
        <v>431550</v>
      </c>
      <c r="I16" s="10">
        <v>1305977</v>
      </c>
      <c r="J16" s="12">
        <v>3336</v>
      </c>
      <c r="K16" s="10">
        <v>0</v>
      </c>
      <c r="L16" s="10">
        <v>0</v>
      </c>
      <c r="M16" s="10">
        <v>136</v>
      </c>
      <c r="N16" s="10">
        <v>151</v>
      </c>
      <c r="O16" s="45">
        <v>2.5</v>
      </c>
      <c r="P16" s="15">
        <v>36</v>
      </c>
      <c r="Q16" s="15">
        <v>8</v>
      </c>
      <c r="R16" s="15">
        <v>0</v>
      </c>
      <c r="S16" s="15">
        <v>6</v>
      </c>
      <c r="T16" s="15">
        <v>2</v>
      </c>
      <c r="U16" s="12">
        <v>4.25</v>
      </c>
      <c r="V16" s="12">
        <v>0.16</v>
      </c>
      <c r="W16" s="12">
        <v>0.43</v>
      </c>
      <c r="X16" s="12">
        <v>0.06</v>
      </c>
      <c r="Y16" s="12">
        <v>0.12</v>
      </c>
      <c r="Z16" s="12">
        <v>0.04</v>
      </c>
      <c r="AA16" s="10">
        <v>1483</v>
      </c>
      <c r="AB16" s="12">
        <v>34.700000000000003</v>
      </c>
      <c r="AC16" s="12">
        <v>18.29</v>
      </c>
      <c r="AD16" s="12">
        <v>35.33</v>
      </c>
      <c r="AE16" s="12">
        <v>8.11</v>
      </c>
      <c r="AF16" s="12">
        <v>0.56000000000000005</v>
      </c>
      <c r="AG16" s="12">
        <v>0.32</v>
      </c>
      <c r="AH16" s="12">
        <v>0.65</v>
      </c>
      <c r="AI16" s="12">
        <v>0.81</v>
      </c>
      <c r="AJ16" s="12">
        <v>0.68</v>
      </c>
      <c r="AK16" s="12">
        <v>1.02</v>
      </c>
      <c r="AL16" s="12">
        <v>24.06</v>
      </c>
      <c r="AM16" s="12">
        <v>20.7</v>
      </c>
      <c r="AN16" s="12">
        <v>5.81</v>
      </c>
      <c r="AO16" s="12">
        <v>1.1599999999999999</v>
      </c>
      <c r="AP16" s="12">
        <v>46.25</v>
      </c>
      <c r="AQ16" s="18">
        <v>2260</v>
      </c>
    </row>
    <row r="17" spans="1:43" x14ac:dyDescent="0.35">
      <c r="A17" s="16">
        <v>46127</v>
      </c>
      <c r="B17" s="10">
        <v>6815000</v>
      </c>
      <c r="C17" s="10">
        <v>2297363</v>
      </c>
      <c r="D17" s="12">
        <v>12901000</v>
      </c>
      <c r="E17" s="10">
        <v>3788637</v>
      </c>
      <c r="F17" s="10">
        <v>891261</v>
      </c>
      <c r="G17" s="9">
        <v>24</v>
      </c>
      <c r="H17" s="10">
        <v>455152</v>
      </c>
      <c r="I17" s="10">
        <v>1291107</v>
      </c>
      <c r="J17" s="12">
        <v>3453</v>
      </c>
      <c r="K17" s="10">
        <v>0</v>
      </c>
      <c r="L17" s="10">
        <v>0</v>
      </c>
      <c r="M17" s="10">
        <v>89</v>
      </c>
      <c r="N17" s="10">
        <v>162</v>
      </c>
      <c r="O17" s="45">
        <v>2.52</v>
      </c>
      <c r="P17" s="15">
        <v>36</v>
      </c>
      <c r="Q17" s="15">
        <v>6</v>
      </c>
      <c r="R17" s="15">
        <v>2</v>
      </c>
      <c r="S17" s="15">
        <v>5</v>
      </c>
      <c r="T17" s="15">
        <v>3</v>
      </c>
      <c r="U17" s="12">
        <v>4.26</v>
      </c>
      <c r="V17" s="12">
        <v>0.17</v>
      </c>
      <c r="W17" s="12">
        <v>0.49</v>
      </c>
      <c r="X17" s="12">
        <v>7.0000000000000007E-2</v>
      </c>
      <c r="Y17" s="12">
        <v>0.12</v>
      </c>
      <c r="Z17" s="12">
        <v>0.04</v>
      </c>
      <c r="AA17" s="10">
        <v>1478</v>
      </c>
      <c r="AB17" s="12">
        <v>34.39</v>
      </c>
      <c r="AC17" s="12">
        <v>19.39</v>
      </c>
      <c r="AD17" s="12">
        <v>34.630000000000003</v>
      </c>
      <c r="AE17" s="12">
        <v>7.82</v>
      </c>
      <c r="AF17" s="12">
        <v>0.6</v>
      </c>
      <c r="AG17" s="12">
        <v>0.41</v>
      </c>
      <c r="AH17" s="12">
        <v>0.66</v>
      </c>
      <c r="AI17" s="12">
        <v>0.89</v>
      </c>
      <c r="AJ17" s="12">
        <v>0.66</v>
      </c>
      <c r="AK17" s="12">
        <v>1.01</v>
      </c>
      <c r="AL17" s="12">
        <v>24.22</v>
      </c>
      <c r="AM17" s="12">
        <v>21.86</v>
      </c>
      <c r="AN17" s="12">
        <v>5.05</v>
      </c>
      <c r="AO17" s="12">
        <v>1.1100000000000001</v>
      </c>
      <c r="AP17" s="12">
        <v>47.44</v>
      </c>
      <c r="AQ17" s="18">
        <v>2280</v>
      </c>
    </row>
    <row r="18" spans="1:43" x14ac:dyDescent="0.35">
      <c r="A18" s="16">
        <v>46128</v>
      </c>
      <c r="B18" s="10">
        <v>6690000</v>
      </c>
      <c r="C18" s="10">
        <v>2293015</v>
      </c>
      <c r="D18" s="12">
        <v>12593000</v>
      </c>
      <c r="E18" s="10">
        <v>3609985</v>
      </c>
      <c r="F18" s="10">
        <v>833998</v>
      </c>
      <c r="G18" s="9">
        <v>0</v>
      </c>
      <c r="H18" s="10">
        <v>427123</v>
      </c>
      <c r="I18" s="10">
        <v>1303765</v>
      </c>
      <c r="J18" s="12">
        <v>3376</v>
      </c>
      <c r="K18" s="10">
        <v>0</v>
      </c>
      <c r="L18" s="10">
        <v>0</v>
      </c>
      <c r="M18" s="10">
        <v>181</v>
      </c>
      <c r="N18" s="10">
        <v>153</v>
      </c>
      <c r="O18" s="45">
        <v>2.5</v>
      </c>
      <c r="P18" s="15">
        <v>34</v>
      </c>
      <c r="Q18" s="15">
        <v>4</v>
      </c>
      <c r="R18" s="15">
        <v>3</v>
      </c>
      <c r="S18" s="15">
        <v>3</v>
      </c>
      <c r="T18" s="15">
        <v>4</v>
      </c>
      <c r="U18" s="12">
        <v>4.26</v>
      </c>
      <c r="V18" s="12">
        <v>0.15</v>
      </c>
      <c r="W18" s="12">
        <v>0.46</v>
      </c>
      <c r="X18" s="12">
        <v>7.0000000000000007E-2</v>
      </c>
      <c r="Y18" s="12">
        <v>0.12</v>
      </c>
      <c r="Z18" s="12">
        <v>0.04</v>
      </c>
      <c r="AA18" s="10">
        <v>1486</v>
      </c>
      <c r="AB18" s="12">
        <v>35.22</v>
      </c>
      <c r="AC18" s="12">
        <v>18.93</v>
      </c>
      <c r="AD18" s="12">
        <v>34.590000000000003</v>
      </c>
      <c r="AE18" s="12">
        <v>7.51</v>
      </c>
      <c r="AF18" s="12">
        <v>0.74</v>
      </c>
      <c r="AG18" s="12">
        <v>0.43</v>
      </c>
      <c r="AH18" s="12">
        <v>0.69</v>
      </c>
      <c r="AI18" s="12">
        <v>0.9</v>
      </c>
      <c r="AJ18" s="12">
        <v>0.59</v>
      </c>
      <c r="AK18" s="12">
        <v>0.98</v>
      </c>
      <c r="AL18" s="12">
        <v>24.25</v>
      </c>
      <c r="AM18" s="12">
        <v>19.579999999999998</v>
      </c>
      <c r="AN18" s="12">
        <v>6.1</v>
      </c>
      <c r="AO18" s="12">
        <v>1.24</v>
      </c>
      <c r="AP18" s="12">
        <v>44.67</v>
      </c>
      <c r="AQ18" s="18">
        <v>2275</v>
      </c>
    </row>
    <row r="19" spans="1:43" x14ac:dyDescent="0.35">
      <c r="A19" s="16">
        <v>46129</v>
      </c>
      <c r="B19" s="10">
        <v>6672000</v>
      </c>
      <c r="C19" s="10">
        <v>1840175</v>
      </c>
      <c r="D19" s="12">
        <v>12289000</v>
      </c>
      <c r="E19" s="10">
        <v>3776825</v>
      </c>
      <c r="F19" s="10">
        <v>832371</v>
      </c>
      <c r="G19" s="9">
        <v>11</v>
      </c>
      <c r="H19" s="10">
        <v>402124</v>
      </c>
      <c r="I19" s="10">
        <v>1304120</v>
      </c>
      <c r="J19" s="12">
        <v>3243</v>
      </c>
      <c r="K19" s="10">
        <v>0</v>
      </c>
      <c r="L19" s="10">
        <v>0</v>
      </c>
      <c r="M19" s="10">
        <v>238</v>
      </c>
      <c r="N19" s="10">
        <v>159</v>
      </c>
      <c r="O19" s="45">
        <v>2.4900000000000002</v>
      </c>
      <c r="P19" s="15">
        <v>33</v>
      </c>
      <c r="Q19" s="15">
        <v>2</v>
      </c>
      <c r="R19" s="15">
        <v>5</v>
      </c>
      <c r="S19" s="15">
        <v>3</v>
      </c>
      <c r="T19" s="15">
        <v>5</v>
      </c>
      <c r="U19" s="12">
        <v>4.25</v>
      </c>
      <c r="V19" s="12">
        <v>0.17</v>
      </c>
      <c r="W19" s="12">
        <v>0.63</v>
      </c>
      <c r="X19" s="12">
        <v>0.06</v>
      </c>
      <c r="Y19" s="12">
        <v>0.12</v>
      </c>
      <c r="Z19" s="12">
        <v>0.05</v>
      </c>
      <c r="AA19" s="10">
        <v>1483</v>
      </c>
      <c r="AB19" s="12">
        <v>34.340000000000003</v>
      </c>
      <c r="AC19" s="12">
        <v>18.73</v>
      </c>
      <c r="AD19" s="12">
        <v>35.42</v>
      </c>
      <c r="AE19" s="12">
        <v>7.9</v>
      </c>
      <c r="AF19" s="12">
        <v>0.6</v>
      </c>
      <c r="AG19" s="12">
        <v>0.37</v>
      </c>
      <c r="AH19" s="12">
        <v>0.57999999999999996</v>
      </c>
      <c r="AI19" s="12">
        <v>0.83</v>
      </c>
      <c r="AJ19" s="12">
        <v>0.69</v>
      </c>
      <c r="AK19" s="12">
        <v>1.03</v>
      </c>
      <c r="AL19" s="12">
        <v>23.51</v>
      </c>
      <c r="AM19" s="12">
        <v>21.64</v>
      </c>
      <c r="AN19" s="12">
        <v>5.16</v>
      </c>
      <c r="AO19" s="12">
        <v>1.0900000000000001</v>
      </c>
      <c r="AP19" s="12">
        <v>47.93</v>
      </c>
      <c r="AQ19" s="18">
        <v>2260</v>
      </c>
    </row>
    <row r="20" spans="1:43" x14ac:dyDescent="0.35">
      <c r="A20" s="16">
        <v>46130</v>
      </c>
      <c r="B20" s="10">
        <v>7218000</v>
      </c>
      <c r="C20" s="10">
        <v>1878360</v>
      </c>
      <c r="D20" s="12">
        <v>12998000</v>
      </c>
      <c r="E20" s="10">
        <v>3901640</v>
      </c>
      <c r="F20" s="10">
        <v>950350</v>
      </c>
      <c r="G20" s="9">
        <v>2</v>
      </c>
      <c r="H20" s="10">
        <v>501475</v>
      </c>
      <c r="I20" s="10">
        <v>1300923</v>
      </c>
      <c r="J20" s="12">
        <v>3595</v>
      </c>
      <c r="K20" s="10">
        <v>0</v>
      </c>
      <c r="L20" s="10">
        <v>0</v>
      </c>
      <c r="M20" s="10">
        <v>313</v>
      </c>
      <c r="N20" s="10">
        <v>149</v>
      </c>
      <c r="O20" s="45">
        <v>2.5099999999999998</v>
      </c>
      <c r="P20" s="15">
        <v>35</v>
      </c>
      <c r="Q20" s="15">
        <v>4</v>
      </c>
      <c r="R20" s="15">
        <v>4</v>
      </c>
      <c r="S20" s="15">
        <v>5</v>
      </c>
      <c r="T20" s="15">
        <v>2</v>
      </c>
      <c r="U20" s="12">
        <v>4.25</v>
      </c>
      <c r="V20" s="12">
        <v>0.15</v>
      </c>
      <c r="W20" s="12">
        <v>0.53</v>
      </c>
      <c r="X20" s="12">
        <v>0.06</v>
      </c>
      <c r="Y20" s="12">
        <v>0.11</v>
      </c>
      <c r="Z20" s="12">
        <v>0.04</v>
      </c>
      <c r="AA20" s="10">
        <v>1479</v>
      </c>
      <c r="AB20" s="12">
        <v>35.020000000000003</v>
      </c>
      <c r="AC20" s="12">
        <v>17.84</v>
      </c>
      <c r="AD20" s="12">
        <v>35.57</v>
      </c>
      <c r="AE20" s="12">
        <v>7.95</v>
      </c>
      <c r="AF20" s="12">
        <v>0.57999999999999996</v>
      </c>
      <c r="AG20" s="12">
        <v>0.35</v>
      </c>
      <c r="AH20" s="12">
        <v>0.64</v>
      </c>
      <c r="AI20" s="12">
        <v>0.84</v>
      </c>
      <c r="AJ20" s="12">
        <v>0.67</v>
      </c>
      <c r="AK20" s="12">
        <v>1.02</v>
      </c>
      <c r="AL20" s="12">
        <v>24.16</v>
      </c>
      <c r="AM20" s="12">
        <v>21.38</v>
      </c>
      <c r="AN20" s="12">
        <v>5.72</v>
      </c>
      <c r="AO20" s="12">
        <v>1.1299999999999999</v>
      </c>
      <c r="AP20" s="12">
        <v>46.95</v>
      </c>
      <c r="AQ20" s="18">
        <v>2251</v>
      </c>
    </row>
    <row r="21" spans="1:43" x14ac:dyDescent="0.35">
      <c r="A21" s="16">
        <v>46131</v>
      </c>
      <c r="B21" s="10">
        <v>6806000</v>
      </c>
      <c r="C21" s="10">
        <v>2661368</v>
      </c>
      <c r="D21" s="12">
        <v>12432000</v>
      </c>
      <c r="E21" s="10">
        <v>2964632</v>
      </c>
      <c r="F21" s="10">
        <v>870695</v>
      </c>
      <c r="G21" s="9">
        <v>0</v>
      </c>
      <c r="H21" s="10">
        <v>511554</v>
      </c>
      <c r="I21" s="10">
        <v>1611674</v>
      </c>
      <c r="J21" s="12">
        <v>3403</v>
      </c>
      <c r="K21" s="10">
        <v>0</v>
      </c>
      <c r="L21" s="10">
        <v>0</v>
      </c>
      <c r="M21" s="10">
        <v>280</v>
      </c>
      <c r="N21" s="10">
        <v>142</v>
      </c>
      <c r="O21" s="45">
        <v>2.36</v>
      </c>
      <c r="P21" s="15">
        <v>33</v>
      </c>
      <c r="Q21" s="15">
        <v>5</v>
      </c>
      <c r="R21" s="15">
        <v>3</v>
      </c>
      <c r="S21" s="15">
        <v>4</v>
      </c>
      <c r="T21" s="15">
        <v>4</v>
      </c>
      <c r="U21" s="12">
        <v>4.26</v>
      </c>
      <c r="V21" s="12">
        <v>0.15</v>
      </c>
      <c r="W21" s="12">
        <v>0.54</v>
      </c>
      <c r="X21" s="12">
        <v>0.06</v>
      </c>
      <c r="Y21" s="12">
        <v>0.1</v>
      </c>
      <c r="Z21" s="12">
        <v>0.04</v>
      </c>
      <c r="AA21" s="10">
        <v>1483</v>
      </c>
      <c r="AB21" s="12">
        <v>35.19</v>
      </c>
      <c r="AC21" s="12">
        <v>18.8</v>
      </c>
      <c r="AD21" s="12">
        <v>34.119999999999997</v>
      </c>
      <c r="AE21" s="12">
        <v>8.2799999999999994</v>
      </c>
      <c r="AF21" s="12">
        <v>0.56999999999999995</v>
      </c>
      <c r="AG21" s="12">
        <v>0.36</v>
      </c>
      <c r="AH21" s="12">
        <v>0.65</v>
      </c>
      <c r="AI21" s="12">
        <v>0.83</v>
      </c>
      <c r="AJ21" s="12">
        <v>0.64</v>
      </c>
      <c r="AK21" s="12">
        <v>0.97</v>
      </c>
      <c r="AL21" s="12">
        <v>24.39</v>
      </c>
      <c r="AM21" s="12">
        <v>22.09</v>
      </c>
      <c r="AN21" s="12">
        <v>4.95</v>
      </c>
      <c r="AO21" s="12">
        <v>1.1000000000000001</v>
      </c>
      <c r="AP21" s="12">
        <v>47.53</v>
      </c>
      <c r="AQ21" s="18">
        <v>2250</v>
      </c>
    </row>
    <row r="22" spans="1:43" x14ac:dyDescent="0.35">
      <c r="A22" s="16">
        <v>46132</v>
      </c>
      <c r="B22" s="10">
        <v>7388000</v>
      </c>
      <c r="C22" s="10">
        <v>2106327</v>
      </c>
      <c r="D22" s="12">
        <v>13298000</v>
      </c>
      <c r="E22" s="10">
        <v>3803673</v>
      </c>
      <c r="F22" s="10">
        <v>943366</v>
      </c>
      <c r="G22" s="9">
        <v>0</v>
      </c>
      <c r="H22" s="10">
        <v>511169</v>
      </c>
      <c r="I22" s="10">
        <v>970710</v>
      </c>
      <c r="J22" s="12">
        <v>3793</v>
      </c>
      <c r="K22" s="10">
        <v>327</v>
      </c>
      <c r="L22" s="10">
        <v>0</v>
      </c>
      <c r="M22" s="10">
        <v>153</v>
      </c>
      <c r="N22" s="10">
        <v>141</v>
      </c>
      <c r="O22" s="45">
        <v>2.52</v>
      </c>
      <c r="P22" s="15">
        <v>37</v>
      </c>
      <c r="Q22" s="15">
        <v>3</v>
      </c>
      <c r="R22" s="15">
        <v>5</v>
      </c>
      <c r="S22" s="15">
        <v>4</v>
      </c>
      <c r="T22" s="15">
        <v>3</v>
      </c>
      <c r="U22" s="12">
        <v>4.26</v>
      </c>
      <c r="V22" s="12">
        <v>0.12</v>
      </c>
      <c r="W22" s="12">
        <v>0.41</v>
      </c>
      <c r="X22" s="12">
        <v>7.0000000000000007E-2</v>
      </c>
      <c r="Y22" s="12">
        <v>0.11</v>
      </c>
      <c r="Z22" s="12">
        <v>0.04</v>
      </c>
      <c r="AA22" s="10">
        <v>1478</v>
      </c>
      <c r="AB22" s="12">
        <v>34.74</v>
      </c>
      <c r="AC22" s="12">
        <v>17.78</v>
      </c>
      <c r="AD22" s="12">
        <v>35.75</v>
      </c>
      <c r="AE22" s="12">
        <v>8.19</v>
      </c>
      <c r="AF22" s="12">
        <v>0.6</v>
      </c>
      <c r="AG22" s="12">
        <v>0.3</v>
      </c>
      <c r="AH22" s="12">
        <v>0.59</v>
      </c>
      <c r="AI22" s="12">
        <v>0.82</v>
      </c>
      <c r="AJ22" s="12">
        <v>0.64</v>
      </c>
      <c r="AK22" s="12">
        <v>1.03</v>
      </c>
      <c r="AL22" s="12">
        <v>25.07</v>
      </c>
      <c r="AM22" s="12">
        <v>22.14</v>
      </c>
      <c r="AN22" s="12">
        <v>5.19</v>
      </c>
      <c r="AO22" s="12">
        <v>1.1299999999999999</v>
      </c>
      <c r="AP22" s="12">
        <v>46.9</v>
      </c>
      <c r="AQ22" s="18">
        <v>2288</v>
      </c>
    </row>
    <row r="23" spans="1:43" x14ac:dyDescent="0.35">
      <c r="A23" s="16">
        <v>46133</v>
      </c>
      <c r="B23" s="10">
        <v>7044000</v>
      </c>
      <c r="C23" s="10">
        <v>2785304</v>
      </c>
      <c r="D23" s="12">
        <v>13240000</v>
      </c>
      <c r="E23" s="10">
        <v>3410696</v>
      </c>
      <c r="F23" s="10">
        <v>979791</v>
      </c>
      <c r="G23" s="9">
        <v>0</v>
      </c>
      <c r="H23" s="10">
        <v>534535</v>
      </c>
      <c r="I23" s="10">
        <v>1301804</v>
      </c>
      <c r="J23" s="12">
        <v>3686</v>
      </c>
      <c r="K23" s="10">
        <v>260</v>
      </c>
      <c r="L23" s="10">
        <v>0</v>
      </c>
      <c r="M23" s="10">
        <v>197</v>
      </c>
      <c r="N23" s="10">
        <v>136</v>
      </c>
      <c r="O23" s="45">
        <v>2.54</v>
      </c>
      <c r="P23" s="15">
        <v>36</v>
      </c>
      <c r="Q23" s="15">
        <v>3</v>
      </c>
      <c r="R23" s="15">
        <v>4</v>
      </c>
      <c r="S23" s="15">
        <v>3</v>
      </c>
      <c r="T23" s="15">
        <v>4</v>
      </c>
      <c r="U23" s="12">
        <v>4.26</v>
      </c>
      <c r="V23" s="12">
        <v>0.13</v>
      </c>
      <c r="W23" s="12">
        <v>0.43</v>
      </c>
      <c r="X23" s="12">
        <v>0.05</v>
      </c>
      <c r="Y23" s="12">
        <v>0.1</v>
      </c>
      <c r="Z23" s="12">
        <v>0.05</v>
      </c>
      <c r="AA23" s="10">
        <v>1479</v>
      </c>
      <c r="AB23" s="12">
        <v>33.65</v>
      </c>
      <c r="AC23" s="12">
        <v>17.61</v>
      </c>
      <c r="AD23" s="12">
        <v>36.53</v>
      </c>
      <c r="AE23" s="12">
        <v>8.7100000000000009</v>
      </c>
      <c r="AF23" s="12">
        <v>0.53</v>
      </c>
      <c r="AG23" s="12">
        <v>0.26</v>
      </c>
      <c r="AH23" s="12">
        <v>0.61</v>
      </c>
      <c r="AI23" s="12">
        <v>0.79</v>
      </c>
      <c r="AJ23" s="12">
        <v>0.68</v>
      </c>
      <c r="AK23" s="12">
        <v>1.0900000000000001</v>
      </c>
      <c r="AL23" s="12">
        <v>24.16</v>
      </c>
      <c r="AM23" s="12">
        <v>21.63</v>
      </c>
      <c r="AN23" s="12">
        <v>5.2</v>
      </c>
      <c r="AO23" s="12">
        <v>1.1200000000000001</v>
      </c>
      <c r="AP23" s="12">
        <v>47.24</v>
      </c>
      <c r="AQ23" s="18">
        <v>2290</v>
      </c>
    </row>
    <row r="24" spans="1:43" x14ac:dyDescent="0.35">
      <c r="A24" s="16">
        <v>46134</v>
      </c>
      <c r="B24" s="10">
        <v>7150000</v>
      </c>
      <c r="C24" s="10">
        <v>3083236</v>
      </c>
      <c r="D24" s="12">
        <v>13568000</v>
      </c>
      <c r="E24" s="10">
        <v>3334764</v>
      </c>
      <c r="F24" s="10">
        <v>1000828</v>
      </c>
      <c r="G24" s="9">
        <v>0</v>
      </c>
      <c r="H24" s="10">
        <v>540115</v>
      </c>
      <c r="I24" s="10">
        <v>1308495</v>
      </c>
      <c r="J24" s="12">
        <v>3573</v>
      </c>
      <c r="K24" s="10">
        <v>470</v>
      </c>
      <c r="L24" s="10">
        <v>0</v>
      </c>
      <c r="M24" s="10">
        <v>107</v>
      </c>
      <c r="N24" s="10">
        <v>135</v>
      </c>
      <c r="O24" s="45">
        <v>2.57</v>
      </c>
      <c r="P24" s="15">
        <v>38</v>
      </c>
      <c r="Q24" s="15">
        <v>3</v>
      </c>
      <c r="R24" s="15">
        <v>3</v>
      </c>
      <c r="S24" s="15">
        <v>4</v>
      </c>
      <c r="T24" s="15">
        <v>2</v>
      </c>
      <c r="U24" s="12">
        <v>4.26</v>
      </c>
      <c r="V24" s="12">
        <v>0.11</v>
      </c>
      <c r="W24" s="12">
        <v>0.42</v>
      </c>
      <c r="X24" s="12">
        <v>0.04</v>
      </c>
      <c r="Y24" s="12">
        <v>0.1</v>
      </c>
      <c r="Z24" s="12">
        <v>0.04</v>
      </c>
      <c r="AA24" s="10">
        <v>1470</v>
      </c>
      <c r="AB24" s="12">
        <v>33.51</v>
      </c>
      <c r="AC24" s="12">
        <v>18.239999999999998</v>
      </c>
      <c r="AD24" s="12">
        <v>37.01</v>
      </c>
      <c r="AE24" s="12">
        <v>7.88</v>
      </c>
      <c r="AF24" s="12">
        <v>0.48</v>
      </c>
      <c r="AG24" s="12">
        <v>0.25</v>
      </c>
      <c r="AH24" s="12">
        <v>0.59</v>
      </c>
      <c r="AI24" s="12">
        <v>0.83</v>
      </c>
      <c r="AJ24" s="12">
        <v>0.71</v>
      </c>
      <c r="AK24" s="12">
        <v>1.1100000000000001</v>
      </c>
      <c r="AL24" s="12">
        <v>24.73</v>
      </c>
      <c r="AM24" s="12">
        <v>22</v>
      </c>
      <c r="AN24" s="12">
        <v>4.88</v>
      </c>
      <c r="AO24" s="12">
        <v>1.1200000000000001</v>
      </c>
      <c r="AP24" s="12">
        <v>47.08</v>
      </c>
      <c r="AQ24" s="18">
        <v>2331</v>
      </c>
    </row>
    <row r="25" spans="1:43" x14ac:dyDescent="0.35">
      <c r="A25" s="16">
        <v>46135</v>
      </c>
      <c r="B25" s="10">
        <v>6955000</v>
      </c>
      <c r="C25" s="10">
        <v>3103223</v>
      </c>
      <c r="D25" s="12">
        <v>13519000</v>
      </c>
      <c r="E25" s="10">
        <v>3460777</v>
      </c>
      <c r="F25" s="10">
        <v>1009096</v>
      </c>
      <c r="G25" s="9">
        <v>0</v>
      </c>
      <c r="H25" s="10">
        <v>542556</v>
      </c>
      <c r="I25" s="10">
        <v>1311893</v>
      </c>
      <c r="J25" s="12">
        <v>3621</v>
      </c>
      <c r="K25" s="10">
        <v>473</v>
      </c>
      <c r="L25" s="10">
        <v>0</v>
      </c>
      <c r="M25" s="10">
        <v>113</v>
      </c>
      <c r="N25" s="10">
        <v>132</v>
      </c>
      <c r="O25" s="45">
        <v>2.57</v>
      </c>
      <c r="P25" s="15">
        <v>37</v>
      </c>
      <c r="Q25" s="15">
        <v>3</v>
      </c>
      <c r="R25" s="15">
        <v>3</v>
      </c>
      <c r="S25" s="15">
        <v>4</v>
      </c>
      <c r="T25" s="15">
        <v>2</v>
      </c>
      <c r="U25" s="12">
        <v>4.26</v>
      </c>
      <c r="V25" s="12">
        <v>0.12</v>
      </c>
      <c r="W25" s="12">
        <v>0.41</v>
      </c>
      <c r="X25" s="12">
        <v>7.0000000000000007E-2</v>
      </c>
      <c r="Y25" s="12">
        <v>0.11</v>
      </c>
      <c r="Z25" s="12">
        <v>0.04</v>
      </c>
      <c r="AA25" s="10">
        <v>1476</v>
      </c>
      <c r="AB25" s="12">
        <v>33.58</v>
      </c>
      <c r="AC25" s="12">
        <v>20.13</v>
      </c>
      <c r="AD25" s="12">
        <v>34.89</v>
      </c>
      <c r="AE25" s="12">
        <v>7.57</v>
      </c>
      <c r="AF25" s="12">
        <v>0.63</v>
      </c>
      <c r="AG25" s="12">
        <v>0.36</v>
      </c>
      <c r="AH25" s="12">
        <v>0.64</v>
      </c>
      <c r="AI25" s="12">
        <v>0.95</v>
      </c>
      <c r="AJ25" s="12">
        <v>0.66</v>
      </c>
      <c r="AK25" s="12">
        <v>1.04</v>
      </c>
      <c r="AL25" s="12">
        <v>24.34</v>
      </c>
      <c r="AM25" s="12">
        <v>21.3</v>
      </c>
      <c r="AN25" s="12">
        <v>5.64</v>
      </c>
      <c r="AO25" s="12">
        <v>1.1399999999999999</v>
      </c>
      <c r="AP25" s="12">
        <v>46.67</v>
      </c>
      <c r="AQ25" s="18">
        <v>2328</v>
      </c>
    </row>
    <row r="26" spans="1:43" x14ac:dyDescent="0.35">
      <c r="A26" s="16">
        <v>46136</v>
      </c>
      <c r="B26" s="10">
        <v>7327000</v>
      </c>
      <c r="C26" s="10">
        <v>2915359</v>
      </c>
      <c r="D26" s="12">
        <v>13725000</v>
      </c>
      <c r="E26" s="10">
        <v>3482641</v>
      </c>
      <c r="F26" s="10">
        <v>1028218</v>
      </c>
      <c r="G26" s="9">
        <v>0</v>
      </c>
      <c r="H26" s="10">
        <v>532130</v>
      </c>
      <c r="I26" s="10">
        <v>1318500</v>
      </c>
      <c r="J26" s="12">
        <v>3727</v>
      </c>
      <c r="K26" s="10">
        <v>345</v>
      </c>
      <c r="L26" s="10">
        <v>0</v>
      </c>
      <c r="M26" s="10">
        <v>188</v>
      </c>
      <c r="N26" s="10">
        <v>132</v>
      </c>
      <c r="O26" s="45">
        <v>2.57</v>
      </c>
      <c r="P26" s="15">
        <v>37</v>
      </c>
      <c r="Q26" s="15">
        <v>3</v>
      </c>
      <c r="R26" s="15">
        <v>5</v>
      </c>
      <c r="S26" s="15">
        <v>3</v>
      </c>
      <c r="T26" s="15">
        <v>5</v>
      </c>
      <c r="U26" s="12">
        <v>4.24</v>
      </c>
      <c r="V26" s="12">
        <v>0.15</v>
      </c>
      <c r="W26" s="12">
        <v>0.45</v>
      </c>
      <c r="X26" s="12">
        <v>0.05</v>
      </c>
      <c r="Y26" s="12">
        <v>0.11</v>
      </c>
      <c r="Z26" s="12">
        <v>0.05</v>
      </c>
      <c r="AA26" s="10">
        <v>1461</v>
      </c>
      <c r="AB26" s="12">
        <v>32.83</v>
      </c>
      <c r="AC26" s="12">
        <v>18.61</v>
      </c>
      <c r="AD26" s="12">
        <v>36.72</v>
      </c>
      <c r="AE26" s="12">
        <v>7.98</v>
      </c>
      <c r="AF26" s="12">
        <v>0.67</v>
      </c>
      <c r="AG26" s="12">
        <v>0.4</v>
      </c>
      <c r="AH26" s="12">
        <v>0.61</v>
      </c>
      <c r="AI26" s="12">
        <v>0.97</v>
      </c>
      <c r="AJ26" s="12">
        <v>0.65</v>
      </c>
      <c r="AK26" s="12">
        <v>1.1200000000000001</v>
      </c>
      <c r="AL26" s="12">
        <v>25.8</v>
      </c>
      <c r="AM26" s="12">
        <v>21.3</v>
      </c>
      <c r="AN26" s="12">
        <v>6.2</v>
      </c>
      <c r="AO26" s="12">
        <v>1.21</v>
      </c>
      <c r="AP26" s="12">
        <v>45.22</v>
      </c>
      <c r="AQ26" s="18">
        <v>2345</v>
      </c>
    </row>
    <row r="27" spans="1:43" x14ac:dyDescent="0.35">
      <c r="A27" s="16">
        <v>46137</v>
      </c>
      <c r="B27" s="10">
        <v>6797000</v>
      </c>
      <c r="C27" s="10">
        <v>2511068</v>
      </c>
      <c r="D27" s="12">
        <v>12800000</v>
      </c>
      <c r="E27" s="10">
        <v>3491932</v>
      </c>
      <c r="F27" s="10">
        <v>849088</v>
      </c>
      <c r="G27" s="9">
        <v>0</v>
      </c>
      <c r="H27" s="10">
        <v>527194</v>
      </c>
      <c r="I27" s="10">
        <v>1294699</v>
      </c>
      <c r="J27" s="12">
        <v>3224</v>
      </c>
      <c r="K27" s="10">
        <v>395</v>
      </c>
      <c r="L27" s="10">
        <v>0</v>
      </c>
      <c r="M27" s="10">
        <v>151</v>
      </c>
      <c r="N27" s="10">
        <v>160</v>
      </c>
      <c r="O27" s="45">
        <v>2.52</v>
      </c>
      <c r="P27" s="15">
        <v>32</v>
      </c>
      <c r="Q27" s="15">
        <v>2</v>
      </c>
      <c r="R27" s="15">
        <v>4</v>
      </c>
      <c r="S27" s="15">
        <v>4</v>
      </c>
      <c r="T27" s="15">
        <v>3</v>
      </c>
      <c r="U27" s="12">
        <v>4.24</v>
      </c>
      <c r="V27" s="12">
        <v>0.13</v>
      </c>
      <c r="W27" s="12">
        <v>0.37</v>
      </c>
      <c r="X27" s="12">
        <v>0.08</v>
      </c>
      <c r="Y27" s="12">
        <v>0.11</v>
      </c>
      <c r="Z27" s="12">
        <v>0.03</v>
      </c>
      <c r="AA27" s="10">
        <v>1431</v>
      </c>
      <c r="AB27" s="12">
        <v>33.25</v>
      </c>
      <c r="AC27" s="12">
        <v>18.45</v>
      </c>
      <c r="AD27" s="12">
        <v>35.6</v>
      </c>
      <c r="AE27" s="12">
        <v>8.33</v>
      </c>
      <c r="AF27" s="12">
        <v>0.83</v>
      </c>
      <c r="AG27" s="12">
        <v>0.53</v>
      </c>
      <c r="AH27" s="12">
        <v>0.66</v>
      </c>
      <c r="AI27" s="12">
        <v>1</v>
      </c>
      <c r="AJ27" s="12">
        <v>0.57999999999999996</v>
      </c>
      <c r="AK27" s="12">
        <v>1.07</v>
      </c>
      <c r="AL27" s="12">
        <v>44.33</v>
      </c>
      <c r="AM27" s="12">
        <v>19.920000000000002</v>
      </c>
      <c r="AN27" s="12">
        <v>6.31</v>
      </c>
      <c r="AO27" s="12">
        <v>2.23</v>
      </c>
      <c r="AP27" s="12">
        <v>31</v>
      </c>
      <c r="AQ27" s="18">
        <v>2262</v>
      </c>
    </row>
    <row r="28" spans="1:43" x14ac:dyDescent="0.35">
      <c r="A28" s="16">
        <v>46138</v>
      </c>
      <c r="B28" s="10">
        <v>6558000</v>
      </c>
      <c r="C28" s="10">
        <v>3516936</v>
      </c>
      <c r="D28" s="12">
        <v>12776000</v>
      </c>
      <c r="E28" s="10">
        <v>2701064</v>
      </c>
      <c r="F28" s="10">
        <v>916117</v>
      </c>
      <c r="G28" s="9">
        <v>0</v>
      </c>
      <c r="H28" s="10">
        <v>552675</v>
      </c>
      <c r="I28" s="10">
        <v>1319026</v>
      </c>
      <c r="J28" s="12">
        <v>3301</v>
      </c>
      <c r="K28" s="10">
        <v>381</v>
      </c>
      <c r="L28" s="10">
        <v>0</v>
      </c>
      <c r="M28" s="10">
        <v>189</v>
      </c>
      <c r="N28" s="10">
        <v>167</v>
      </c>
      <c r="O28" s="45">
        <v>2.5299999999999998</v>
      </c>
      <c r="P28" s="15">
        <v>32</v>
      </c>
      <c r="Q28" s="15">
        <v>2</v>
      </c>
      <c r="R28" s="15">
        <v>5</v>
      </c>
      <c r="S28" s="15">
        <v>4</v>
      </c>
      <c r="T28" s="15">
        <v>3</v>
      </c>
      <c r="U28" s="12">
        <v>4.24</v>
      </c>
      <c r="V28" s="12">
        <v>0.13</v>
      </c>
      <c r="W28" s="12">
        <v>0.37</v>
      </c>
      <c r="X28" s="12">
        <v>0.08</v>
      </c>
      <c r="Y28" s="12">
        <v>0.11</v>
      </c>
      <c r="Z28" s="12">
        <v>0.03</v>
      </c>
      <c r="AA28" s="10">
        <v>1431</v>
      </c>
      <c r="AB28" s="12">
        <v>33.25</v>
      </c>
      <c r="AC28" s="12">
        <v>18.45</v>
      </c>
      <c r="AD28" s="12">
        <v>35.6</v>
      </c>
      <c r="AE28" s="12">
        <v>8.33</v>
      </c>
      <c r="AF28" s="12">
        <v>0.83</v>
      </c>
      <c r="AG28" s="12">
        <v>0.53</v>
      </c>
      <c r="AH28" s="12">
        <v>0.66</v>
      </c>
      <c r="AI28" s="12">
        <v>1</v>
      </c>
      <c r="AJ28" s="12">
        <v>0.57999999999999996</v>
      </c>
      <c r="AK28" s="12">
        <v>1.07</v>
      </c>
      <c r="AL28" s="12">
        <v>23.97</v>
      </c>
      <c r="AM28" s="12">
        <v>20.67</v>
      </c>
      <c r="AN28" s="12">
        <v>5.23</v>
      </c>
      <c r="AO28" s="12">
        <v>1.1599999999999999</v>
      </c>
      <c r="AP28" s="12">
        <v>46.3</v>
      </c>
      <c r="AQ28" s="18">
        <v>2276</v>
      </c>
    </row>
    <row r="29" spans="1:43" x14ac:dyDescent="0.35">
      <c r="A29" s="16">
        <v>46139</v>
      </c>
      <c r="B29" s="10">
        <v>6277000</v>
      </c>
      <c r="C29" s="10">
        <v>3968454</v>
      </c>
      <c r="D29" s="12">
        <v>12638000</v>
      </c>
      <c r="E29" s="10">
        <v>2392546</v>
      </c>
      <c r="F29" s="10">
        <v>850112</v>
      </c>
      <c r="G29" s="9">
        <v>0</v>
      </c>
      <c r="H29" s="10">
        <v>524573</v>
      </c>
      <c r="I29" s="10">
        <v>1288702</v>
      </c>
      <c r="J29" s="12">
        <v>3038</v>
      </c>
      <c r="K29" s="10">
        <v>368</v>
      </c>
      <c r="L29" s="10">
        <v>0</v>
      </c>
      <c r="M29" s="10">
        <v>158</v>
      </c>
      <c r="N29" s="10">
        <v>158</v>
      </c>
      <c r="O29" s="45">
        <v>3</v>
      </c>
      <c r="P29" s="15">
        <v>32</v>
      </c>
      <c r="Q29" s="15">
        <v>3</v>
      </c>
      <c r="R29" s="15">
        <v>4</v>
      </c>
      <c r="S29" s="15">
        <v>4</v>
      </c>
      <c r="T29" s="15">
        <v>4</v>
      </c>
      <c r="U29" s="12">
        <v>4.26</v>
      </c>
      <c r="V29" s="12">
        <v>0.17</v>
      </c>
      <c r="W29" s="12">
        <v>0.53</v>
      </c>
      <c r="X29" s="12">
        <v>0.04</v>
      </c>
      <c r="Y29" s="12">
        <v>0.11</v>
      </c>
      <c r="Z29" s="12">
        <v>0.06</v>
      </c>
      <c r="AA29" s="10">
        <v>1482</v>
      </c>
      <c r="AB29" s="12">
        <v>32.35</v>
      </c>
      <c r="AC29" s="12">
        <v>19.07</v>
      </c>
      <c r="AD29" s="12">
        <v>35.85</v>
      </c>
      <c r="AE29" s="12">
        <v>9.32</v>
      </c>
      <c r="AF29" s="12">
        <v>0.67</v>
      </c>
      <c r="AG29" s="12">
        <v>0.28000000000000003</v>
      </c>
      <c r="AH29" s="12">
        <v>0.59</v>
      </c>
      <c r="AI29" s="12">
        <v>0.82</v>
      </c>
      <c r="AJ29" s="12">
        <v>0.75</v>
      </c>
      <c r="AK29" s="12">
        <v>1.1100000000000001</v>
      </c>
      <c r="AL29" s="12">
        <v>22.29</v>
      </c>
      <c r="AM29" s="12">
        <v>20.6</v>
      </c>
      <c r="AN29" s="12">
        <v>4.28</v>
      </c>
      <c r="AO29" s="12">
        <v>1.08</v>
      </c>
      <c r="AP29" s="12">
        <v>48.03</v>
      </c>
      <c r="AQ29" s="18">
        <v>2323</v>
      </c>
    </row>
    <row r="30" spans="1:43" x14ac:dyDescent="0.35">
      <c r="A30" s="16">
        <v>46140</v>
      </c>
      <c r="B30" s="10">
        <v>6434000</v>
      </c>
      <c r="C30" s="10">
        <v>4318567</v>
      </c>
      <c r="D30" s="12">
        <v>12808000</v>
      </c>
      <c r="E30" s="10">
        <v>2055433</v>
      </c>
      <c r="F30" s="10">
        <v>804566</v>
      </c>
      <c r="G30" s="9">
        <v>0</v>
      </c>
      <c r="H30" s="10">
        <v>537509</v>
      </c>
      <c r="I30" s="10">
        <v>1306708</v>
      </c>
      <c r="J30" s="12">
        <v>3421</v>
      </c>
      <c r="K30" s="10">
        <v>335</v>
      </c>
      <c r="L30" s="10">
        <v>0</v>
      </c>
      <c r="M30" s="10">
        <v>184</v>
      </c>
      <c r="N30" s="10">
        <v>155</v>
      </c>
      <c r="O30" s="45">
        <v>2.4900000000000002</v>
      </c>
      <c r="P30" s="15">
        <v>33</v>
      </c>
      <c r="Q30" s="15">
        <v>0</v>
      </c>
      <c r="R30" s="15">
        <v>7</v>
      </c>
      <c r="S30" s="15">
        <v>3</v>
      </c>
      <c r="T30" s="15">
        <v>5</v>
      </c>
      <c r="U30" s="12">
        <v>4.2699999999999996</v>
      </c>
      <c r="V30" s="12">
        <v>0.15</v>
      </c>
      <c r="W30" s="12">
        <v>0.52</v>
      </c>
      <c r="X30" s="12">
        <v>0.06</v>
      </c>
      <c r="Y30" s="12">
        <v>0.1</v>
      </c>
      <c r="Z30" s="12">
        <v>0.05</v>
      </c>
      <c r="AA30" s="10">
        <v>1485</v>
      </c>
      <c r="AB30" s="12">
        <v>32.78</v>
      </c>
      <c r="AC30" s="12">
        <v>20.52</v>
      </c>
      <c r="AD30" s="12">
        <v>34.6</v>
      </c>
      <c r="AE30" s="12">
        <v>8.49</v>
      </c>
      <c r="AF30" s="12">
        <v>0.5</v>
      </c>
      <c r="AG30" s="12">
        <v>0.31</v>
      </c>
      <c r="AH30" s="12">
        <v>0.65</v>
      </c>
      <c r="AI30" s="12">
        <v>0.84</v>
      </c>
      <c r="AJ30" s="12">
        <v>0.76</v>
      </c>
      <c r="AK30" s="12">
        <v>1.06</v>
      </c>
      <c r="AL30" s="12">
        <v>23.41</v>
      </c>
      <c r="AM30" s="12">
        <v>21.17</v>
      </c>
      <c r="AN30" s="12">
        <v>4.84</v>
      </c>
      <c r="AO30" s="12">
        <v>1.1100000000000001</v>
      </c>
      <c r="AP30" s="12">
        <v>47.49</v>
      </c>
      <c r="AQ30" s="18">
        <v>2336</v>
      </c>
    </row>
    <row r="31" spans="1:43" x14ac:dyDescent="0.35">
      <c r="A31" s="16">
        <v>46141</v>
      </c>
      <c r="B31" s="10">
        <v>6773000</v>
      </c>
      <c r="C31" s="10">
        <v>3899783</v>
      </c>
      <c r="D31" s="12">
        <v>13183000</v>
      </c>
      <c r="E31" s="10">
        <v>2510217</v>
      </c>
      <c r="F31" s="10">
        <v>912235</v>
      </c>
      <c r="G31" s="9">
        <v>0</v>
      </c>
      <c r="H31" s="10">
        <v>491509</v>
      </c>
      <c r="I31" s="10">
        <v>1320121</v>
      </c>
      <c r="J31" s="12">
        <v>3655</v>
      </c>
      <c r="K31" s="10">
        <v>441</v>
      </c>
      <c r="L31" s="10">
        <v>0</v>
      </c>
      <c r="M31" s="10">
        <v>174</v>
      </c>
      <c r="N31" s="10">
        <v>153</v>
      </c>
      <c r="O31" s="45">
        <v>2.5</v>
      </c>
      <c r="P31" s="15">
        <v>37</v>
      </c>
      <c r="Q31" s="15">
        <v>0</v>
      </c>
      <c r="R31" s="15">
        <v>7</v>
      </c>
      <c r="S31" s="15">
        <v>3</v>
      </c>
      <c r="T31" s="15">
        <v>5</v>
      </c>
      <c r="U31" s="12">
        <v>4.25</v>
      </c>
      <c r="V31" s="12">
        <v>0.12</v>
      </c>
      <c r="W31" s="12">
        <v>0.41</v>
      </c>
      <c r="X31" s="12">
        <v>0.06</v>
      </c>
      <c r="Y31" s="12">
        <v>0.11</v>
      </c>
      <c r="Z31" s="12">
        <v>0.04</v>
      </c>
      <c r="AA31" s="10">
        <v>1487</v>
      </c>
      <c r="AB31" s="12">
        <v>34.01</v>
      </c>
      <c r="AC31" s="12">
        <v>19.3</v>
      </c>
      <c r="AD31" s="12">
        <v>34.409999999999997</v>
      </c>
      <c r="AE31" s="12">
        <v>8.7899999999999991</v>
      </c>
      <c r="AF31" s="12">
        <v>0.51</v>
      </c>
      <c r="AG31" s="12">
        <v>0.25</v>
      </c>
      <c r="AH31" s="12">
        <v>0.62</v>
      </c>
      <c r="AI31" s="12">
        <v>0.85</v>
      </c>
      <c r="AJ31" s="12">
        <v>0.68</v>
      </c>
      <c r="AK31" s="12">
        <v>1.01</v>
      </c>
      <c r="AL31" s="12">
        <v>22.94</v>
      </c>
      <c r="AM31" s="12">
        <v>21.75</v>
      </c>
      <c r="AN31" s="12">
        <v>5.5</v>
      </c>
      <c r="AO31" s="12">
        <v>1.05</v>
      </c>
      <c r="AP31" s="12">
        <v>48.67</v>
      </c>
      <c r="AQ31" s="18">
        <v>2310</v>
      </c>
    </row>
    <row r="32" spans="1:43" x14ac:dyDescent="0.35">
      <c r="A32" s="16">
        <v>46142</v>
      </c>
      <c r="B32" s="10">
        <v>6779000</v>
      </c>
      <c r="C32" s="10">
        <v>4567789</v>
      </c>
      <c r="D32" s="12">
        <v>13366000</v>
      </c>
      <c r="E32" s="10">
        <v>2019211</v>
      </c>
      <c r="F32" s="10">
        <v>1037847</v>
      </c>
      <c r="G32" s="9">
        <v>0</v>
      </c>
      <c r="H32" s="10">
        <v>522233</v>
      </c>
      <c r="I32" s="10">
        <v>1310159</v>
      </c>
      <c r="J32" s="12">
        <v>3596</v>
      </c>
      <c r="K32" s="10">
        <v>543</v>
      </c>
      <c r="L32" s="10">
        <v>0</v>
      </c>
      <c r="M32" s="10">
        <v>120</v>
      </c>
      <c r="N32" s="10">
        <v>0</v>
      </c>
      <c r="O32" s="45">
        <v>0</v>
      </c>
      <c r="P32" s="15">
        <v>36</v>
      </c>
      <c r="Q32" s="15">
        <v>0</v>
      </c>
      <c r="R32" s="15">
        <v>8</v>
      </c>
      <c r="S32" s="15">
        <v>3</v>
      </c>
      <c r="T32" s="15">
        <v>5</v>
      </c>
      <c r="U32" s="12">
        <v>4.25</v>
      </c>
      <c r="V32" s="12">
        <v>0.11</v>
      </c>
      <c r="W32" s="12">
        <v>0.44</v>
      </c>
      <c r="X32" s="12">
        <v>0.05</v>
      </c>
      <c r="Y32" s="12">
        <v>0.11</v>
      </c>
      <c r="Z32" s="12">
        <v>0.05</v>
      </c>
      <c r="AA32" s="10">
        <v>1475</v>
      </c>
      <c r="AB32" s="12">
        <v>32.89</v>
      </c>
      <c r="AC32" s="12">
        <v>18.54</v>
      </c>
      <c r="AD32" s="12">
        <v>37.47</v>
      </c>
      <c r="AE32" s="12">
        <v>7.64</v>
      </c>
      <c r="AF32" s="12">
        <v>0.56999999999999995</v>
      </c>
      <c r="AG32" s="12">
        <v>0.21</v>
      </c>
      <c r="AH32" s="12">
        <v>0.59</v>
      </c>
      <c r="AI32" s="12">
        <v>0.83</v>
      </c>
      <c r="AJ32" s="12">
        <v>0.7</v>
      </c>
      <c r="AK32" s="12">
        <v>1.1399999999999999</v>
      </c>
      <c r="AL32" s="9"/>
      <c r="AM32" s="9"/>
      <c r="AN32" s="9"/>
      <c r="AO32" s="9"/>
      <c r="AP32" s="9"/>
      <c r="AQ32" s="18">
        <v>0</v>
      </c>
    </row>
    <row r="33" spans="1:43" s="28" customFormat="1" x14ac:dyDescent="0.35">
      <c r="A33" s="23">
        <v>46143</v>
      </c>
      <c r="B33" s="33">
        <v>6920000</v>
      </c>
      <c r="C33" s="33">
        <v>4030480</v>
      </c>
      <c r="D33" s="34">
        <v>13327000</v>
      </c>
      <c r="E33" s="35">
        <v>2376520</v>
      </c>
      <c r="F33" s="35">
        <v>492994</v>
      </c>
      <c r="G33" s="25">
        <v>0</v>
      </c>
      <c r="H33" s="24">
        <v>974293</v>
      </c>
      <c r="I33" s="24">
        <v>1317165</v>
      </c>
      <c r="J33" s="26">
        <v>3588</v>
      </c>
      <c r="K33" s="24">
        <v>548</v>
      </c>
      <c r="L33" s="24">
        <v>0</v>
      </c>
      <c r="M33" s="24">
        <v>164</v>
      </c>
      <c r="N33" s="35">
        <v>147</v>
      </c>
      <c r="O33" s="39">
        <v>2.54</v>
      </c>
      <c r="P33" s="27">
        <v>0</v>
      </c>
      <c r="Q33" s="27">
        <v>0</v>
      </c>
      <c r="R33" s="27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1461</v>
      </c>
      <c r="AB33" s="25"/>
      <c r="AC33" s="25"/>
      <c r="AD33" s="26"/>
      <c r="AE33" s="25"/>
      <c r="AF33" s="25"/>
      <c r="AG33" s="25"/>
      <c r="AH33" s="25"/>
      <c r="AI33" s="25"/>
      <c r="AJ33" s="25"/>
      <c r="AK33" s="25"/>
      <c r="AL33" s="25">
        <v>22.58</v>
      </c>
      <c r="AM33" s="25">
        <v>20.350000000000001</v>
      </c>
      <c r="AN33" s="25">
        <v>6.45</v>
      </c>
      <c r="AO33" s="26">
        <v>1.1100000000000001</v>
      </c>
      <c r="AP33" s="26">
        <v>47</v>
      </c>
      <c r="AQ33" s="35">
        <v>2321</v>
      </c>
    </row>
    <row r="34" spans="1:43" x14ac:dyDescent="0.35">
      <c r="A34" s="16">
        <v>46144</v>
      </c>
      <c r="B34" s="36">
        <v>6821000</v>
      </c>
      <c r="C34" s="36">
        <v>4362775</v>
      </c>
      <c r="D34" s="34">
        <v>13403000</v>
      </c>
      <c r="E34" s="37">
        <v>2219225</v>
      </c>
      <c r="F34" s="37">
        <v>986067</v>
      </c>
      <c r="G34" s="9">
        <v>0</v>
      </c>
      <c r="H34" s="10">
        <v>567451</v>
      </c>
      <c r="I34" s="10">
        <v>1326646</v>
      </c>
      <c r="J34" s="12">
        <v>3522</v>
      </c>
      <c r="K34" s="10">
        <v>344</v>
      </c>
      <c r="L34" s="10">
        <v>17</v>
      </c>
      <c r="M34" s="10">
        <v>201</v>
      </c>
      <c r="N34" s="37">
        <v>145</v>
      </c>
      <c r="O34" s="40">
        <v>2.5499999999999998</v>
      </c>
      <c r="P34" s="15">
        <v>37</v>
      </c>
      <c r="Q34" s="15">
        <v>0</v>
      </c>
      <c r="R34" s="15">
        <v>0</v>
      </c>
      <c r="S34" s="15">
        <v>0</v>
      </c>
      <c r="T34" s="9">
        <v>0</v>
      </c>
      <c r="U34" s="9">
        <v>4.25</v>
      </c>
      <c r="V34" s="9">
        <v>0.08</v>
      </c>
      <c r="W34" s="9">
        <v>0.38</v>
      </c>
      <c r="X34" s="12">
        <v>0.05</v>
      </c>
      <c r="Y34" s="12">
        <v>0.11</v>
      </c>
      <c r="Z34" s="12">
        <v>0.04</v>
      </c>
      <c r="AA34" s="10">
        <v>1490</v>
      </c>
      <c r="AB34" s="12">
        <v>32.25</v>
      </c>
      <c r="AC34" s="12">
        <v>19.16</v>
      </c>
      <c r="AD34" s="12">
        <v>37.340000000000003</v>
      </c>
      <c r="AE34" s="12">
        <v>7.88</v>
      </c>
      <c r="AF34" s="12">
        <v>0.46</v>
      </c>
      <c r="AG34" s="12">
        <v>0.17</v>
      </c>
      <c r="AH34" s="12">
        <v>0.56000000000000005</v>
      </c>
      <c r="AI34" s="12">
        <v>0.9</v>
      </c>
      <c r="AJ34" s="12">
        <v>0.74</v>
      </c>
      <c r="AK34" s="12">
        <v>1.1599999999999999</v>
      </c>
      <c r="AL34" s="12">
        <v>20.76</v>
      </c>
      <c r="AM34" s="12">
        <v>20.23</v>
      </c>
      <c r="AN34" s="12">
        <v>5.6</v>
      </c>
      <c r="AO34" s="12">
        <v>1.03</v>
      </c>
      <c r="AP34" s="12">
        <v>49</v>
      </c>
      <c r="AQ34" s="37">
        <v>2346</v>
      </c>
    </row>
    <row r="35" spans="1:43" x14ac:dyDescent="0.35">
      <c r="A35" s="16">
        <v>46145</v>
      </c>
      <c r="B35" s="33">
        <v>6731000</v>
      </c>
      <c r="C35" s="33">
        <v>4263079</v>
      </c>
      <c r="D35" s="34">
        <v>13126000</v>
      </c>
      <c r="E35" s="35">
        <v>2131921</v>
      </c>
      <c r="F35" s="35">
        <v>928686</v>
      </c>
      <c r="G35" s="9">
        <v>0</v>
      </c>
      <c r="H35" s="10">
        <v>522795</v>
      </c>
      <c r="I35" s="10">
        <v>1348220</v>
      </c>
      <c r="J35" s="12">
        <v>3480</v>
      </c>
      <c r="K35" s="10">
        <v>283</v>
      </c>
      <c r="L35" s="10">
        <v>0</v>
      </c>
      <c r="M35" s="10">
        <v>158</v>
      </c>
      <c r="N35" s="35">
        <v>153</v>
      </c>
      <c r="O35" s="39">
        <v>2.54</v>
      </c>
      <c r="P35" s="15">
        <v>36</v>
      </c>
      <c r="Q35" s="15">
        <v>0</v>
      </c>
      <c r="R35" s="15">
        <v>8</v>
      </c>
      <c r="S35" s="15">
        <v>2</v>
      </c>
      <c r="T35" s="15">
        <v>6</v>
      </c>
      <c r="U35" s="12">
        <v>4.26</v>
      </c>
      <c r="V35" s="12">
        <v>0.1</v>
      </c>
      <c r="W35" s="12">
        <v>0.5</v>
      </c>
      <c r="X35" s="12">
        <v>0.05</v>
      </c>
      <c r="Y35" s="12">
        <v>0.11</v>
      </c>
      <c r="Z35" s="12">
        <v>0.04</v>
      </c>
      <c r="AA35" s="10">
        <v>1467</v>
      </c>
      <c r="AB35" s="12">
        <v>34.119999999999997</v>
      </c>
      <c r="AC35" s="12">
        <v>18.18</v>
      </c>
      <c r="AD35" s="12">
        <v>35.81</v>
      </c>
      <c r="AE35" s="12">
        <v>8.49</v>
      </c>
      <c r="AF35" s="12">
        <v>0.5</v>
      </c>
      <c r="AG35" s="12">
        <v>0.21</v>
      </c>
      <c r="AH35" s="12">
        <v>0.56999999999999995</v>
      </c>
      <c r="AI35" s="12">
        <v>0.86</v>
      </c>
      <c r="AJ35" s="12">
        <v>0.72</v>
      </c>
      <c r="AK35" s="12">
        <v>1.05</v>
      </c>
      <c r="AL35" s="12">
        <v>21.09</v>
      </c>
      <c r="AM35" s="12">
        <v>19.04</v>
      </c>
      <c r="AN35" s="12">
        <v>5.56</v>
      </c>
      <c r="AO35" s="12">
        <v>1.1100000000000001</v>
      </c>
      <c r="AP35" s="12">
        <v>47</v>
      </c>
      <c r="AQ35" s="35">
        <v>2306</v>
      </c>
    </row>
    <row r="36" spans="1:43" x14ac:dyDescent="0.35">
      <c r="A36" s="16">
        <v>46146</v>
      </c>
      <c r="B36" s="36">
        <v>6817000</v>
      </c>
      <c r="C36" s="36">
        <v>4034429</v>
      </c>
      <c r="D36" s="34">
        <v>13205000</v>
      </c>
      <c r="E36" s="37">
        <v>2353571</v>
      </c>
      <c r="F36" s="37">
        <v>920311</v>
      </c>
      <c r="G36" s="9"/>
      <c r="H36" s="10">
        <v>495259</v>
      </c>
      <c r="I36" s="10">
        <v>1285450</v>
      </c>
      <c r="J36" s="12">
        <v>3697</v>
      </c>
      <c r="K36" s="10">
        <v>395</v>
      </c>
      <c r="L36" s="10">
        <v>0</v>
      </c>
      <c r="M36" s="10">
        <v>126</v>
      </c>
      <c r="N36" s="37">
        <v>163</v>
      </c>
      <c r="O36" s="40">
        <v>2.54</v>
      </c>
      <c r="P36" s="15">
        <v>0</v>
      </c>
      <c r="Q36" s="15">
        <v>0</v>
      </c>
      <c r="R36" s="15">
        <v>7</v>
      </c>
      <c r="S36" s="9">
        <v>3</v>
      </c>
      <c r="T36" s="15">
        <v>5</v>
      </c>
      <c r="U36" s="12">
        <v>4.2300000000000004</v>
      </c>
      <c r="V36" s="12">
        <v>0.11</v>
      </c>
      <c r="W36" s="12">
        <v>0.36</v>
      </c>
      <c r="X36" s="12">
        <v>0.06</v>
      </c>
      <c r="Y36" s="12">
        <v>0.11</v>
      </c>
      <c r="Z36" s="12">
        <v>0.03</v>
      </c>
      <c r="AA36" s="10">
        <v>1470</v>
      </c>
      <c r="AB36" s="12">
        <v>33.46</v>
      </c>
      <c r="AC36" s="12">
        <v>17.47</v>
      </c>
      <c r="AD36" s="12">
        <v>37.21</v>
      </c>
      <c r="AE36" s="12">
        <v>8.33</v>
      </c>
      <c r="AF36" s="12">
        <v>0.6</v>
      </c>
      <c r="AG36" s="12">
        <v>0.26</v>
      </c>
      <c r="AH36" s="12">
        <v>0.57999999999999996</v>
      </c>
      <c r="AI36" s="12">
        <v>0.86</v>
      </c>
      <c r="AJ36" s="12">
        <v>0.67</v>
      </c>
      <c r="AK36" s="12">
        <v>1.1100000000000001</v>
      </c>
      <c r="AL36" s="12">
        <v>23.6</v>
      </c>
      <c r="AM36" s="12">
        <v>19.260000000000002</v>
      </c>
      <c r="AN36" s="12">
        <v>5.22</v>
      </c>
      <c r="AO36" s="12">
        <v>1.23</v>
      </c>
      <c r="AP36" s="12">
        <v>45</v>
      </c>
      <c r="AQ36" s="37">
        <v>2283</v>
      </c>
    </row>
    <row r="37" spans="1:43" x14ac:dyDescent="0.35">
      <c r="A37" s="16">
        <v>46147</v>
      </c>
      <c r="B37" s="33">
        <v>6970000</v>
      </c>
      <c r="C37" s="33">
        <v>3456671</v>
      </c>
      <c r="D37" s="34">
        <v>12964000</v>
      </c>
      <c r="E37" s="35">
        <v>2537329</v>
      </c>
      <c r="F37" s="35">
        <v>850987</v>
      </c>
      <c r="G37" s="9">
        <v>28</v>
      </c>
      <c r="H37" s="10">
        <v>417645</v>
      </c>
      <c r="I37" s="10">
        <v>1304743</v>
      </c>
      <c r="J37" s="12">
        <v>3476</v>
      </c>
      <c r="K37" s="10">
        <v>283</v>
      </c>
      <c r="L37" s="10">
        <v>0</v>
      </c>
      <c r="M37" s="10">
        <v>162</v>
      </c>
      <c r="N37" s="35">
        <v>168</v>
      </c>
      <c r="O37" s="39">
        <v>2.52</v>
      </c>
      <c r="P37" s="15">
        <v>0</v>
      </c>
      <c r="Q37" s="15">
        <v>1</v>
      </c>
      <c r="R37" s="15">
        <v>6</v>
      </c>
      <c r="S37" s="9">
        <v>2</v>
      </c>
      <c r="T37" s="15">
        <v>5</v>
      </c>
      <c r="U37" s="12">
        <v>4.24</v>
      </c>
      <c r="V37" s="12">
        <v>0.12</v>
      </c>
      <c r="W37" s="12">
        <v>0.44</v>
      </c>
      <c r="X37" s="12">
        <v>0.05</v>
      </c>
      <c r="Y37" s="12">
        <v>0.11</v>
      </c>
      <c r="Z37" s="12">
        <v>0.04</v>
      </c>
      <c r="AA37" s="10">
        <v>1458</v>
      </c>
      <c r="AB37" s="12">
        <v>34.51</v>
      </c>
      <c r="AC37" s="12">
        <v>17.34</v>
      </c>
      <c r="AD37" s="12">
        <v>36.549999999999997</v>
      </c>
      <c r="AE37" s="12">
        <v>8.11</v>
      </c>
      <c r="AF37" s="12">
        <v>0.56999999999999995</v>
      </c>
      <c r="AG37" s="12">
        <v>0.27</v>
      </c>
      <c r="AH37" s="12">
        <v>0.59</v>
      </c>
      <c r="AI37" s="12">
        <v>0.84</v>
      </c>
      <c r="AJ37" s="12">
        <v>0.67</v>
      </c>
      <c r="AK37" s="12">
        <v>1.06</v>
      </c>
      <c r="AL37" s="12">
        <v>22.28</v>
      </c>
      <c r="AM37" s="12">
        <v>20.28</v>
      </c>
      <c r="AN37" s="12">
        <v>5.56</v>
      </c>
      <c r="AO37" s="12">
        <v>1.1000000000000001</v>
      </c>
      <c r="AP37" s="12">
        <v>48</v>
      </c>
      <c r="AQ37" s="35">
        <v>2316</v>
      </c>
    </row>
    <row r="38" spans="1:43" x14ac:dyDescent="0.35">
      <c r="A38" s="16">
        <v>46148</v>
      </c>
      <c r="B38" s="36">
        <v>6529000</v>
      </c>
      <c r="C38" s="36">
        <v>4662142</v>
      </c>
      <c r="D38" s="34">
        <v>12930000</v>
      </c>
      <c r="E38" s="37">
        <v>1738858</v>
      </c>
      <c r="F38" s="37">
        <v>897772</v>
      </c>
      <c r="G38" s="9"/>
      <c r="H38" s="10">
        <v>629863</v>
      </c>
      <c r="I38" s="10">
        <v>1325750</v>
      </c>
      <c r="J38" s="12">
        <v>3286</v>
      </c>
      <c r="K38" s="10">
        <v>386</v>
      </c>
      <c r="L38" s="10">
        <v>0</v>
      </c>
      <c r="M38" s="10">
        <v>129</v>
      </c>
      <c r="N38" s="37">
        <v>168</v>
      </c>
      <c r="O38" s="40">
        <v>2.52</v>
      </c>
      <c r="P38" s="15">
        <v>0</v>
      </c>
      <c r="Q38" s="15">
        <v>4</v>
      </c>
      <c r="R38" s="15">
        <v>3</v>
      </c>
      <c r="S38" s="9">
        <v>4</v>
      </c>
      <c r="T38" s="15">
        <v>6</v>
      </c>
      <c r="U38" s="12">
        <v>4.25</v>
      </c>
      <c r="V38" s="12">
        <v>0.13</v>
      </c>
      <c r="W38" s="12">
        <v>0.52</v>
      </c>
      <c r="X38" s="12">
        <v>0.06</v>
      </c>
      <c r="Y38" s="12">
        <v>0.1</v>
      </c>
      <c r="Z38" s="12">
        <v>0.05</v>
      </c>
      <c r="AA38" s="10">
        <v>0</v>
      </c>
      <c r="AB38" s="12">
        <v>33.729999999999997</v>
      </c>
      <c r="AC38" s="12">
        <v>18.57</v>
      </c>
      <c r="AD38" s="9">
        <v>35.92</v>
      </c>
      <c r="AE38" s="12">
        <v>8.0299999999999994</v>
      </c>
      <c r="AF38" s="12">
        <v>0.71</v>
      </c>
      <c r="AG38" s="12">
        <v>0.3</v>
      </c>
      <c r="AH38" s="12">
        <v>0.59</v>
      </c>
      <c r="AI38" s="12">
        <v>0.9</v>
      </c>
      <c r="AJ38" s="12">
        <v>0.7</v>
      </c>
      <c r="AK38" s="12">
        <v>1.07</v>
      </c>
      <c r="AL38" s="12">
        <v>22.96</v>
      </c>
      <c r="AM38" s="12">
        <v>21.28</v>
      </c>
      <c r="AN38" s="12">
        <v>5.04</v>
      </c>
      <c r="AO38" s="12">
        <v>1.08</v>
      </c>
      <c r="AP38" s="12">
        <v>48</v>
      </c>
      <c r="AQ38" s="37">
        <v>2316</v>
      </c>
    </row>
    <row r="39" spans="1:43" x14ac:dyDescent="0.35">
      <c r="A39" s="16">
        <v>46149</v>
      </c>
      <c r="B39" s="33">
        <v>6856000</v>
      </c>
      <c r="C39" s="33">
        <v>3705352</v>
      </c>
      <c r="D39" s="34">
        <v>13096000</v>
      </c>
      <c r="E39" s="35">
        <v>2534648</v>
      </c>
      <c r="F39" s="35">
        <v>971163</v>
      </c>
      <c r="G39" s="9"/>
      <c r="H39" s="10">
        <v>536769</v>
      </c>
      <c r="I39" s="10">
        <v>1316670</v>
      </c>
      <c r="J39" s="12">
        <v>3364</v>
      </c>
      <c r="K39" s="10">
        <v>462</v>
      </c>
      <c r="L39" s="10">
        <v>0</v>
      </c>
      <c r="M39" s="10">
        <v>50</v>
      </c>
      <c r="N39" s="35">
        <v>151</v>
      </c>
      <c r="O39" s="39">
        <v>2.54</v>
      </c>
      <c r="P39" s="15">
        <v>0</v>
      </c>
      <c r="Q39" s="15">
        <v>2</v>
      </c>
      <c r="R39" s="15">
        <v>4</v>
      </c>
      <c r="S39" s="9">
        <v>3</v>
      </c>
      <c r="T39" s="15">
        <v>4</v>
      </c>
      <c r="U39" s="12">
        <v>4.25</v>
      </c>
      <c r="V39" s="12">
        <v>0.13</v>
      </c>
      <c r="W39" s="12">
        <v>0.46</v>
      </c>
      <c r="X39" s="12">
        <v>0.04</v>
      </c>
      <c r="Y39" s="12">
        <v>0.1</v>
      </c>
      <c r="Z39" s="12">
        <v>0.04</v>
      </c>
      <c r="AA39" s="10">
        <v>0</v>
      </c>
      <c r="AB39" s="12">
        <v>32.78</v>
      </c>
      <c r="AC39" s="12">
        <v>18.68</v>
      </c>
      <c r="AD39" s="9">
        <v>36.14</v>
      </c>
      <c r="AE39" s="12">
        <v>8.8800000000000008</v>
      </c>
      <c r="AF39" s="12">
        <v>0.5</v>
      </c>
      <c r="AG39" s="12">
        <v>0.25</v>
      </c>
      <c r="AH39" s="12">
        <v>0.61</v>
      </c>
      <c r="AI39" s="12">
        <v>0.89</v>
      </c>
      <c r="AJ39" s="12">
        <v>0.72</v>
      </c>
      <c r="AK39" s="12">
        <v>1.1000000000000001</v>
      </c>
      <c r="AL39" s="12">
        <v>21.34</v>
      </c>
      <c r="AM39" s="12">
        <v>20.38</v>
      </c>
      <c r="AN39" s="12">
        <v>4.79</v>
      </c>
      <c r="AO39" s="12">
        <v>1.05</v>
      </c>
      <c r="AP39" s="12">
        <v>49</v>
      </c>
      <c r="AQ39" s="35">
        <v>2354</v>
      </c>
    </row>
    <row r="40" spans="1:43" x14ac:dyDescent="0.35">
      <c r="A40" s="16">
        <v>46150</v>
      </c>
      <c r="B40" s="36">
        <v>6165000</v>
      </c>
      <c r="C40" s="36">
        <v>5143374</v>
      </c>
      <c r="D40" s="34">
        <v>12951000</v>
      </c>
      <c r="E40" s="37">
        <v>1642626</v>
      </c>
      <c r="F40" s="37">
        <v>978194</v>
      </c>
      <c r="G40" s="9"/>
      <c r="H40" s="10">
        <v>498957</v>
      </c>
      <c r="I40" s="10">
        <v>1313588</v>
      </c>
      <c r="J40" s="12">
        <v>3434</v>
      </c>
      <c r="K40" s="10">
        <v>354</v>
      </c>
      <c r="L40" s="9">
        <v>0</v>
      </c>
      <c r="M40" s="10">
        <v>124</v>
      </c>
      <c r="N40" s="37">
        <v>167</v>
      </c>
      <c r="O40" s="40">
        <v>2.54</v>
      </c>
      <c r="P40" s="15">
        <v>0</v>
      </c>
      <c r="Q40" s="15">
        <v>2</v>
      </c>
      <c r="R40" s="15">
        <v>2</v>
      </c>
      <c r="S40" s="9">
        <v>6</v>
      </c>
      <c r="T40" s="15">
        <v>5</v>
      </c>
      <c r="U40" s="12">
        <v>4.2300000000000004</v>
      </c>
      <c r="V40" s="12">
        <v>0.16</v>
      </c>
      <c r="W40" s="12">
        <v>0.42</v>
      </c>
      <c r="X40" s="12">
        <v>0.06</v>
      </c>
      <c r="Y40" s="12">
        <v>0.1</v>
      </c>
      <c r="Z40" s="12">
        <v>0.03</v>
      </c>
      <c r="AA40" s="10">
        <v>0</v>
      </c>
      <c r="AB40" s="12">
        <v>32.64</v>
      </c>
      <c r="AC40" s="12">
        <v>18.87</v>
      </c>
      <c r="AD40" s="9">
        <v>36.270000000000003</v>
      </c>
      <c r="AE40" s="12">
        <v>8.23</v>
      </c>
      <c r="AF40" s="12">
        <v>0.72</v>
      </c>
      <c r="AG40" s="12">
        <v>0.38</v>
      </c>
      <c r="AH40" s="12">
        <v>0.72</v>
      </c>
      <c r="AI40" s="12">
        <v>0.98</v>
      </c>
      <c r="AJ40" s="12">
        <v>0.66</v>
      </c>
      <c r="AK40" s="12">
        <v>1.1100000000000001</v>
      </c>
      <c r="AL40" s="12">
        <v>22.86</v>
      </c>
      <c r="AM40" s="12">
        <v>20.62</v>
      </c>
      <c r="AN40" s="12">
        <v>5.51</v>
      </c>
      <c r="AO40" s="12">
        <v>1.1100000000000001</v>
      </c>
      <c r="AP40" s="12">
        <v>47</v>
      </c>
      <c r="AQ40" s="37">
        <v>2337</v>
      </c>
    </row>
    <row r="41" spans="1:43" x14ac:dyDescent="0.35">
      <c r="A41" s="16">
        <v>46151</v>
      </c>
      <c r="B41" s="33">
        <v>5507000</v>
      </c>
      <c r="C41" s="33">
        <v>6136697</v>
      </c>
      <c r="D41" s="34">
        <v>12444000</v>
      </c>
      <c r="E41" s="35">
        <v>800303</v>
      </c>
      <c r="F41" s="35">
        <v>907544</v>
      </c>
      <c r="G41" s="9"/>
      <c r="H41" s="10">
        <v>488018</v>
      </c>
      <c r="I41" s="10">
        <v>1315343</v>
      </c>
      <c r="J41" s="12">
        <v>3515</v>
      </c>
      <c r="K41" s="10">
        <v>270</v>
      </c>
      <c r="L41" s="9">
        <v>0</v>
      </c>
      <c r="M41" s="10">
        <v>151</v>
      </c>
      <c r="N41" s="35">
        <v>158</v>
      </c>
      <c r="O41" s="39">
        <v>2.5099999999999998</v>
      </c>
      <c r="P41" s="15">
        <v>0</v>
      </c>
      <c r="Q41" s="15">
        <v>4</v>
      </c>
      <c r="R41" s="15">
        <v>4</v>
      </c>
      <c r="S41" s="9">
        <v>4</v>
      </c>
      <c r="T41" s="15">
        <v>4</v>
      </c>
      <c r="U41" s="12">
        <v>4.24</v>
      </c>
      <c r="V41" s="12">
        <v>0.15</v>
      </c>
      <c r="W41" s="12">
        <v>0.49</v>
      </c>
      <c r="X41" s="12">
        <v>0.06</v>
      </c>
      <c r="Y41" s="12">
        <v>0.1</v>
      </c>
      <c r="Z41" s="12">
        <v>0.04</v>
      </c>
      <c r="AA41" s="10">
        <v>1450</v>
      </c>
      <c r="AB41" s="12">
        <v>32.200000000000003</v>
      </c>
      <c r="AC41" s="12">
        <v>18.98</v>
      </c>
      <c r="AD41" s="12">
        <v>37.200000000000003</v>
      </c>
      <c r="AE41" s="12">
        <v>7.94</v>
      </c>
      <c r="AF41" s="12">
        <v>0.65</v>
      </c>
      <c r="AG41" s="12">
        <v>0.3</v>
      </c>
      <c r="AH41" s="12">
        <v>0.59</v>
      </c>
      <c r="AI41" s="12">
        <v>0.87</v>
      </c>
      <c r="AJ41" s="12">
        <v>0.72</v>
      </c>
      <c r="AK41" s="12">
        <v>1.1599999999999999</v>
      </c>
      <c r="AL41" s="12">
        <v>22.85</v>
      </c>
      <c r="AM41" s="12">
        <v>21.48</v>
      </c>
      <c r="AN41" s="12">
        <v>5.88</v>
      </c>
      <c r="AO41" s="12">
        <v>1.06</v>
      </c>
      <c r="AP41" s="12">
        <v>48</v>
      </c>
      <c r="AQ41" s="35">
        <v>2348</v>
      </c>
    </row>
    <row r="42" spans="1:43" x14ac:dyDescent="0.35">
      <c r="A42" s="16">
        <v>46152</v>
      </c>
      <c r="B42" s="36">
        <v>5512000</v>
      </c>
      <c r="C42" s="36">
        <v>6567209</v>
      </c>
      <c r="D42" s="34">
        <v>12595000</v>
      </c>
      <c r="E42" s="37">
        <v>515791</v>
      </c>
      <c r="F42" s="37">
        <v>863755</v>
      </c>
      <c r="G42" s="9">
        <v>28</v>
      </c>
      <c r="H42" s="10">
        <v>504633</v>
      </c>
      <c r="I42" s="10">
        <v>1315167</v>
      </c>
      <c r="J42" s="12">
        <v>3554</v>
      </c>
      <c r="K42" s="10">
        <v>264</v>
      </c>
      <c r="L42" s="9">
        <v>0</v>
      </c>
      <c r="M42" s="10">
        <v>229</v>
      </c>
      <c r="N42" s="37">
        <v>159</v>
      </c>
      <c r="O42" s="40">
        <v>2.44</v>
      </c>
      <c r="P42" s="15">
        <v>0</v>
      </c>
      <c r="Q42" s="15">
        <v>4</v>
      </c>
      <c r="R42" s="15">
        <v>3</v>
      </c>
      <c r="S42" s="9">
        <v>5</v>
      </c>
      <c r="T42" s="15">
        <v>2</v>
      </c>
      <c r="U42" s="12">
        <v>4.26</v>
      </c>
      <c r="V42" s="12">
        <v>0.17</v>
      </c>
      <c r="W42" s="12">
        <v>0.38</v>
      </c>
      <c r="X42" s="12">
        <v>0.04</v>
      </c>
      <c r="Y42" s="12">
        <v>0.12</v>
      </c>
      <c r="Z42" s="12">
        <v>0.04</v>
      </c>
      <c r="AA42" s="10">
        <v>1464</v>
      </c>
      <c r="AB42" s="12">
        <v>31.83</v>
      </c>
      <c r="AC42" s="12">
        <v>19</v>
      </c>
      <c r="AD42" s="12">
        <v>37.07</v>
      </c>
      <c r="AE42" s="12">
        <v>8.5500000000000007</v>
      </c>
      <c r="AF42" s="12">
        <v>0.53</v>
      </c>
      <c r="AG42" s="12">
        <v>0.32</v>
      </c>
      <c r="AH42" s="12">
        <v>0.56999999999999995</v>
      </c>
      <c r="AI42" s="12">
        <v>0.9</v>
      </c>
      <c r="AJ42" s="12">
        <v>0.7</v>
      </c>
      <c r="AK42" s="12">
        <v>1.1599999999999999</v>
      </c>
      <c r="AL42" s="12">
        <v>23.61</v>
      </c>
      <c r="AM42" s="12">
        <v>20.82</v>
      </c>
      <c r="AN42" s="12">
        <v>5.66</v>
      </c>
      <c r="AO42" s="12">
        <v>1.1299999999999999</v>
      </c>
      <c r="AP42" s="12">
        <v>47</v>
      </c>
      <c r="AQ42" s="37">
        <v>2303</v>
      </c>
    </row>
    <row r="43" spans="1:43" x14ac:dyDescent="0.35">
      <c r="A43" s="16">
        <v>46153</v>
      </c>
      <c r="B43" s="33">
        <v>5356000</v>
      </c>
      <c r="C43" s="33">
        <v>5848879</v>
      </c>
      <c r="D43" s="34">
        <v>11989000</v>
      </c>
      <c r="E43" s="35">
        <v>784121</v>
      </c>
      <c r="F43" s="35">
        <v>817789</v>
      </c>
      <c r="G43" s="9"/>
      <c r="H43" s="10">
        <v>531334</v>
      </c>
      <c r="I43" s="10">
        <v>1285173</v>
      </c>
      <c r="J43" s="12">
        <v>3202</v>
      </c>
      <c r="K43" s="10">
        <v>270</v>
      </c>
      <c r="L43" s="9">
        <v>0</v>
      </c>
      <c r="M43" s="10">
        <v>174</v>
      </c>
      <c r="N43" s="35">
        <v>169</v>
      </c>
      <c r="O43" s="39">
        <v>2.42</v>
      </c>
      <c r="P43" s="15">
        <v>0</v>
      </c>
      <c r="Q43" s="15">
        <v>1</v>
      </c>
      <c r="R43" s="15">
        <v>2</v>
      </c>
      <c r="S43" s="9">
        <v>6</v>
      </c>
      <c r="T43" s="15">
        <v>6</v>
      </c>
      <c r="U43" s="12">
        <v>4.25</v>
      </c>
      <c r="V43" s="12">
        <v>0.14000000000000001</v>
      </c>
      <c r="W43" s="12">
        <v>0.39</v>
      </c>
      <c r="X43" s="12">
        <v>0.05</v>
      </c>
      <c r="Y43" s="12">
        <v>0.11</v>
      </c>
      <c r="Z43" s="12">
        <v>0.04</v>
      </c>
      <c r="AA43" s="10">
        <v>1455</v>
      </c>
      <c r="AB43" s="12">
        <v>31.11</v>
      </c>
      <c r="AC43" s="12">
        <v>18.440000000000001</v>
      </c>
      <c r="AD43" s="12">
        <v>38.32</v>
      </c>
      <c r="AE43" s="12">
        <v>8.66</v>
      </c>
      <c r="AF43" s="12">
        <v>0.5</v>
      </c>
      <c r="AG43" s="12">
        <v>0.23</v>
      </c>
      <c r="AH43" s="12">
        <v>0.52</v>
      </c>
      <c r="AI43" s="12">
        <v>0.9</v>
      </c>
      <c r="AJ43" s="12">
        <v>0.8</v>
      </c>
      <c r="AK43" s="12">
        <v>1.23</v>
      </c>
      <c r="AL43" s="12"/>
      <c r="AM43" s="12"/>
      <c r="AN43" s="12"/>
      <c r="AO43" s="12"/>
      <c r="AP43" s="12"/>
      <c r="AQ43" s="35">
        <v>2288</v>
      </c>
    </row>
    <row r="44" spans="1:43" x14ac:dyDescent="0.35">
      <c r="A44" s="16">
        <v>46154</v>
      </c>
      <c r="B44" s="36">
        <v>3237000</v>
      </c>
      <c r="C44" s="36">
        <v>2345874</v>
      </c>
      <c r="D44" s="34">
        <v>6285000</v>
      </c>
      <c r="E44" s="37">
        <v>702126</v>
      </c>
      <c r="F44" s="37">
        <v>325392</v>
      </c>
      <c r="G44" s="9"/>
      <c r="H44" s="10">
        <v>453971</v>
      </c>
      <c r="I44" s="10">
        <v>2836000</v>
      </c>
      <c r="J44" s="12">
        <v>858</v>
      </c>
      <c r="K44" s="10">
        <v>61</v>
      </c>
      <c r="L44" s="9">
        <v>0</v>
      </c>
      <c r="M44" s="10">
        <v>110</v>
      </c>
      <c r="N44" s="37">
        <v>169</v>
      </c>
      <c r="O44" s="40">
        <v>2.42</v>
      </c>
      <c r="P44" s="15">
        <v>0</v>
      </c>
      <c r="Q44" s="15">
        <v>0</v>
      </c>
      <c r="R44" s="15">
        <v>3</v>
      </c>
      <c r="S44" s="9">
        <v>2</v>
      </c>
      <c r="T44" s="15">
        <v>0</v>
      </c>
      <c r="U44" s="12">
        <v>4.25</v>
      </c>
      <c r="V44" s="12">
        <v>0.18</v>
      </c>
      <c r="W44" s="12">
        <v>0.65</v>
      </c>
      <c r="X44" s="12">
        <v>0.04</v>
      </c>
      <c r="Y44" s="12">
        <v>0.12</v>
      </c>
      <c r="Z44" s="12">
        <v>7.0000000000000007E-2</v>
      </c>
      <c r="AA44" s="10">
        <v>1453</v>
      </c>
      <c r="AB44" s="12">
        <v>31.59</v>
      </c>
      <c r="AC44" s="12">
        <v>20.149999999999999</v>
      </c>
      <c r="AD44" s="12">
        <v>36.229999999999997</v>
      </c>
      <c r="AE44" s="12">
        <v>8.76</v>
      </c>
      <c r="AF44" s="12">
        <v>0.42</v>
      </c>
      <c r="AG44" s="12">
        <v>0.24</v>
      </c>
      <c r="AH44" s="12">
        <v>0.51</v>
      </c>
      <c r="AI44" s="12">
        <v>0.83</v>
      </c>
      <c r="AJ44" s="12">
        <v>0.75</v>
      </c>
      <c r="AK44" s="12">
        <v>1.1499999999999999</v>
      </c>
      <c r="AL44" s="12"/>
      <c r="AM44" s="12"/>
      <c r="AN44" s="12"/>
      <c r="AO44" s="12"/>
      <c r="AP44" s="12"/>
      <c r="AQ44" s="37">
        <v>845</v>
      </c>
    </row>
    <row r="45" spans="1:43" x14ac:dyDescent="0.35">
      <c r="A45" s="16">
        <v>46155</v>
      </c>
      <c r="B45" s="33">
        <v>2485000</v>
      </c>
      <c r="C45" s="33">
        <v>1269138</v>
      </c>
      <c r="D45" s="34">
        <v>4192000</v>
      </c>
      <c r="E45" s="35">
        <v>437862</v>
      </c>
      <c r="F45" s="35">
        <v>93326</v>
      </c>
      <c r="G45" s="9">
        <v>77</v>
      </c>
      <c r="H45" s="10">
        <v>384777</v>
      </c>
      <c r="I45" s="9">
        <v>0</v>
      </c>
      <c r="J45" s="12">
        <v>270</v>
      </c>
      <c r="K45" s="10">
        <v>17</v>
      </c>
      <c r="L45" s="9">
        <v>0</v>
      </c>
      <c r="M45" s="10">
        <v>41</v>
      </c>
      <c r="N45" s="35">
        <v>184</v>
      </c>
      <c r="O45" s="39">
        <v>0.37</v>
      </c>
      <c r="P45" s="15">
        <v>0</v>
      </c>
      <c r="Q45" s="15">
        <v>1</v>
      </c>
      <c r="R45" s="15">
        <v>0</v>
      </c>
      <c r="S45" s="9">
        <v>2</v>
      </c>
      <c r="T45" s="15">
        <v>0</v>
      </c>
      <c r="U45" s="12">
        <v>4.29</v>
      </c>
      <c r="V45" s="12">
        <v>0.22</v>
      </c>
      <c r="W45" s="12">
        <v>2.27</v>
      </c>
      <c r="X45" s="12">
        <v>0.02</v>
      </c>
      <c r="Y45" s="12">
        <v>0.15</v>
      </c>
      <c r="Z45" s="12">
        <v>0.13</v>
      </c>
      <c r="AA45" s="10">
        <v>1381</v>
      </c>
      <c r="AB45" s="12">
        <v>31.59</v>
      </c>
      <c r="AC45" s="12">
        <v>20.149999999999999</v>
      </c>
      <c r="AD45" s="12">
        <v>36.229999999999997</v>
      </c>
      <c r="AE45" s="12">
        <v>8.76</v>
      </c>
      <c r="AF45" s="12">
        <v>0.42</v>
      </c>
      <c r="AG45" s="12">
        <v>0.24</v>
      </c>
      <c r="AH45" s="12">
        <v>0.51</v>
      </c>
      <c r="AI45" s="12">
        <v>0.83</v>
      </c>
      <c r="AJ45" s="12">
        <v>0.75</v>
      </c>
      <c r="AK45" s="12">
        <v>1.1499999999999999</v>
      </c>
      <c r="AL45" s="12"/>
      <c r="AM45" s="12"/>
      <c r="AN45" s="12"/>
      <c r="AO45" s="12"/>
      <c r="AP45" s="12"/>
      <c r="AQ45" s="35">
        <v>845</v>
      </c>
    </row>
    <row r="46" spans="1:43" x14ac:dyDescent="0.35">
      <c r="A46" s="16">
        <v>46156</v>
      </c>
      <c r="B46" s="36">
        <v>5067000</v>
      </c>
      <c r="C46" s="36">
        <v>4721426</v>
      </c>
      <c r="D46" s="34">
        <v>10854000</v>
      </c>
      <c r="E46" s="37">
        <v>1065574</v>
      </c>
      <c r="F46" s="37">
        <v>409565</v>
      </c>
      <c r="G46" s="9">
        <v>102</v>
      </c>
      <c r="H46" s="10">
        <v>529475</v>
      </c>
      <c r="I46" s="9">
        <v>0</v>
      </c>
      <c r="J46" s="12">
        <v>2778</v>
      </c>
      <c r="K46" s="10">
        <v>137</v>
      </c>
      <c r="L46" s="10">
        <v>15</v>
      </c>
      <c r="M46" s="10">
        <v>214</v>
      </c>
      <c r="N46" s="37">
        <v>158</v>
      </c>
      <c r="O46" s="40">
        <v>2.39</v>
      </c>
      <c r="P46" s="15">
        <v>0</v>
      </c>
      <c r="Q46" s="15">
        <v>6</v>
      </c>
      <c r="R46" s="15">
        <v>0</v>
      </c>
      <c r="S46" s="9">
        <v>3</v>
      </c>
      <c r="T46" s="15">
        <v>3</v>
      </c>
      <c r="U46" s="12">
        <v>4.26</v>
      </c>
      <c r="V46" s="12">
        <v>0.19</v>
      </c>
      <c r="W46" s="12">
        <v>0.99</v>
      </c>
      <c r="X46" s="12">
        <v>0.03</v>
      </c>
      <c r="Y46" s="12">
        <v>0.16</v>
      </c>
      <c r="Z46" s="12">
        <v>0.1</v>
      </c>
      <c r="AA46" s="10">
        <v>1466</v>
      </c>
      <c r="AB46" s="12">
        <v>31.01</v>
      </c>
      <c r="AC46" s="12">
        <v>20.88</v>
      </c>
      <c r="AD46" s="12">
        <v>35.869999999999997</v>
      </c>
      <c r="AE46" s="12">
        <v>8.98</v>
      </c>
      <c r="AF46" s="12">
        <v>0.43</v>
      </c>
      <c r="AG46" s="12">
        <v>0.24</v>
      </c>
      <c r="AH46" s="12">
        <v>0.51</v>
      </c>
      <c r="AI46" s="12">
        <v>0.75</v>
      </c>
      <c r="AJ46" s="12">
        <v>0.81</v>
      </c>
      <c r="AK46" s="12">
        <v>1.1599999999999999</v>
      </c>
      <c r="AL46" s="12"/>
      <c r="AM46" s="12"/>
      <c r="AN46" s="12"/>
      <c r="AO46" s="12"/>
      <c r="AP46" s="12"/>
      <c r="AQ46" s="37">
        <v>2214</v>
      </c>
    </row>
    <row r="47" spans="1:43" x14ac:dyDescent="0.35">
      <c r="A47" s="16">
        <v>46157</v>
      </c>
      <c r="B47" s="33">
        <v>5066000</v>
      </c>
      <c r="C47" s="33">
        <v>6258691</v>
      </c>
      <c r="D47" s="34">
        <v>11765000</v>
      </c>
      <c r="E47" s="35">
        <v>440309</v>
      </c>
      <c r="F47" s="35">
        <v>698277</v>
      </c>
      <c r="G47" s="9">
        <v>22</v>
      </c>
      <c r="H47" s="10">
        <v>484771</v>
      </c>
      <c r="I47" s="9">
        <v>0</v>
      </c>
      <c r="J47" s="12">
        <v>3499</v>
      </c>
      <c r="K47" s="10">
        <v>343</v>
      </c>
      <c r="L47" s="10">
        <v>46</v>
      </c>
      <c r="M47" s="10">
        <v>141</v>
      </c>
      <c r="N47" s="35">
        <v>152</v>
      </c>
      <c r="O47" s="39">
        <v>2.5299999999999998</v>
      </c>
      <c r="P47" s="15">
        <v>0</v>
      </c>
      <c r="Q47" s="15">
        <v>7</v>
      </c>
      <c r="R47" s="15">
        <v>0</v>
      </c>
      <c r="S47" s="9">
        <v>4</v>
      </c>
      <c r="T47" s="15">
        <v>3</v>
      </c>
      <c r="U47" s="12">
        <v>4.26</v>
      </c>
      <c r="V47" s="12">
        <v>0.16</v>
      </c>
      <c r="W47" s="12">
        <v>0.51</v>
      </c>
      <c r="X47" s="12">
        <v>0.03</v>
      </c>
      <c r="Y47" s="12">
        <v>0.1</v>
      </c>
      <c r="Z47" s="12">
        <v>0.06</v>
      </c>
      <c r="AA47" s="10">
        <v>1480</v>
      </c>
      <c r="AB47" s="12">
        <v>31.67</v>
      </c>
      <c r="AC47" s="12">
        <v>19.239999999999998</v>
      </c>
      <c r="AD47" s="12">
        <v>37.07</v>
      </c>
      <c r="AE47" s="12">
        <v>8.81</v>
      </c>
      <c r="AF47" s="12">
        <v>0.45</v>
      </c>
      <c r="AG47" s="12">
        <v>0.23</v>
      </c>
      <c r="AH47" s="12">
        <v>0.52</v>
      </c>
      <c r="AI47" s="12">
        <v>0.79</v>
      </c>
      <c r="AJ47" s="12">
        <v>0.73</v>
      </c>
      <c r="AK47" s="12">
        <v>1.17</v>
      </c>
      <c r="AL47" s="12"/>
      <c r="AM47" s="12"/>
      <c r="AN47" s="12"/>
      <c r="AO47" s="12"/>
      <c r="AP47" s="12"/>
      <c r="AQ47" s="35">
        <v>2258</v>
      </c>
    </row>
    <row r="48" spans="1:43" x14ac:dyDescent="0.35">
      <c r="A48" s="16">
        <v>46158</v>
      </c>
      <c r="B48" s="36">
        <v>5264000</v>
      </c>
      <c r="C48" s="36">
        <v>6259222</v>
      </c>
      <c r="D48" s="34">
        <v>12199000</v>
      </c>
      <c r="E48" s="37">
        <v>675778</v>
      </c>
      <c r="F48" s="37">
        <v>767948</v>
      </c>
      <c r="G48" s="9">
        <v>15</v>
      </c>
      <c r="H48" s="10">
        <v>447753</v>
      </c>
      <c r="I48" s="9">
        <v>0</v>
      </c>
      <c r="J48" s="12">
        <v>3411</v>
      </c>
      <c r="K48" s="10">
        <v>428</v>
      </c>
      <c r="L48" s="10">
        <v>58</v>
      </c>
      <c r="M48" s="10">
        <v>128</v>
      </c>
      <c r="N48" s="37">
        <v>156</v>
      </c>
      <c r="O48" s="40">
        <v>2.5499999999999998</v>
      </c>
      <c r="P48" s="15">
        <v>0</v>
      </c>
      <c r="Q48" s="15">
        <v>4</v>
      </c>
      <c r="R48" s="15">
        <v>4</v>
      </c>
      <c r="S48" s="9">
        <v>3</v>
      </c>
      <c r="T48" s="15">
        <v>4</v>
      </c>
      <c r="U48" s="12">
        <v>4.25</v>
      </c>
      <c r="V48" s="12">
        <v>0.14000000000000001</v>
      </c>
      <c r="W48" s="12">
        <v>0.44</v>
      </c>
      <c r="X48" s="12">
        <v>0.04</v>
      </c>
      <c r="Y48" s="12">
        <v>0.1</v>
      </c>
      <c r="Z48" s="12">
        <v>0.04</v>
      </c>
      <c r="AA48" s="10">
        <v>1484</v>
      </c>
      <c r="AB48" s="12">
        <v>32.06</v>
      </c>
      <c r="AC48" s="12">
        <v>18.79</v>
      </c>
      <c r="AD48" s="12">
        <v>36.94</v>
      </c>
      <c r="AE48" s="12">
        <v>8.69</v>
      </c>
      <c r="AF48" s="12">
        <v>0.55000000000000004</v>
      </c>
      <c r="AG48" s="12">
        <v>0.26</v>
      </c>
      <c r="AH48" s="12">
        <v>0.67</v>
      </c>
      <c r="AI48" s="12">
        <v>0.82</v>
      </c>
      <c r="AJ48" s="12">
        <v>0.7</v>
      </c>
      <c r="AK48" s="12">
        <v>1.1499999999999999</v>
      </c>
      <c r="AL48" s="12"/>
      <c r="AM48" s="12"/>
      <c r="AN48" s="12"/>
      <c r="AO48" s="12"/>
      <c r="AP48" s="12"/>
      <c r="AQ48" s="37">
        <v>2308</v>
      </c>
    </row>
    <row r="49" spans="1:43" x14ac:dyDescent="0.35">
      <c r="A49" s="16">
        <v>46159</v>
      </c>
      <c r="B49" s="33">
        <v>5612000</v>
      </c>
      <c r="C49" s="33">
        <v>6105761</v>
      </c>
      <c r="D49" s="34">
        <v>12720000</v>
      </c>
      <c r="E49" s="35">
        <v>1002239</v>
      </c>
      <c r="F49" s="35">
        <v>884876</v>
      </c>
      <c r="G49" s="9"/>
      <c r="H49" s="10">
        <v>484925</v>
      </c>
      <c r="I49" s="9">
        <v>0</v>
      </c>
      <c r="J49" s="12">
        <v>3411</v>
      </c>
      <c r="K49" s="10">
        <v>457</v>
      </c>
      <c r="L49" s="10">
        <v>19</v>
      </c>
      <c r="M49" s="10">
        <v>225</v>
      </c>
      <c r="N49" s="35">
        <v>154</v>
      </c>
      <c r="O49" s="39">
        <v>2.54</v>
      </c>
      <c r="P49" s="15">
        <v>0</v>
      </c>
      <c r="Q49" s="15">
        <v>0</v>
      </c>
      <c r="R49" s="15">
        <v>8</v>
      </c>
      <c r="S49" s="9">
        <v>3</v>
      </c>
      <c r="T49" s="15">
        <v>4</v>
      </c>
      <c r="U49" s="12">
        <v>4.25</v>
      </c>
      <c r="V49" s="12">
        <v>0.13</v>
      </c>
      <c r="W49" s="12">
        <v>0.4</v>
      </c>
      <c r="X49" s="12">
        <v>0.04</v>
      </c>
      <c r="Y49" s="12">
        <v>0.1</v>
      </c>
      <c r="Z49" s="12">
        <v>0.04</v>
      </c>
      <c r="AA49" s="10">
        <v>1492</v>
      </c>
      <c r="AB49" s="12">
        <v>32.54</v>
      </c>
      <c r="AC49" s="12">
        <v>18.07</v>
      </c>
      <c r="AD49" s="12">
        <v>37.35</v>
      </c>
      <c r="AE49" s="12">
        <v>8.75</v>
      </c>
      <c r="AF49" s="12">
        <v>0.51</v>
      </c>
      <c r="AG49" s="12">
        <v>0.24</v>
      </c>
      <c r="AH49" s="12">
        <v>0.56999999999999995</v>
      </c>
      <c r="AI49" s="12">
        <v>0.78</v>
      </c>
      <c r="AJ49" s="12">
        <v>0.69</v>
      </c>
      <c r="AK49" s="12">
        <v>1.1499999999999999</v>
      </c>
      <c r="AL49" s="12"/>
      <c r="AM49" s="12"/>
      <c r="AN49" s="12"/>
      <c r="AO49" s="12"/>
      <c r="AP49" s="12"/>
      <c r="AQ49" s="35">
        <v>2335</v>
      </c>
    </row>
    <row r="50" spans="1:43" x14ac:dyDescent="0.35">
      <c r="A50" s="16">
        <v>46160</v>
      </c>
      <c r="B50" s="36">
        <v>5580000</v>
      </c>
      <c r="C50" s="36">
        <v>6176702</v>
      </c>
      <c r="D50" s="34">
        <v>12463000</v>
      </c>
      <c r="E50" s="37">
        <v>706298</v>
      </c>
      <c r="F50" s="37">
        <v>847374</v>
      </c>
      <c r="G50" s="9"/>
      <c r="H50" s="10">
        <v>468833</v>
      </c>
      <c r="I50" s="9">
        <v>0</v>
      </c>
      <c r="J50" s="12">
        <v>3265</v>
      </c>
      <c r="K50" s="10">
        <v>479</v>
      </c>
      <c r="L50" s="10">
        <v>8</v>
      </c>
      <c r="M50" s="10">
        <v>113</v>
      </c>
      <c r="N50" s="37">
        <v>154</v>
      </c>
      <c r="O50" s="40">
        <v>2.5299999999999998</v>
      </c>
      <c r="P50" s="15">
        <v>0</v>
      </c>
      <c r="Q50" s="15">
        <v>0</v>
      </c>
      <c r="R50" s="15">
        <v>8</v>
      </c>
      <c r="S50" s="9">
        <v>2</v>
      </c>
      <c r="T50" s="15">
        <v>5</v>
      </c>
      <c r="U50" s="12">
        <v>4.26</v>
      </c>
      <c r="V50" s="12">
        <v>0.11</v>
      </c>
      <c r="W50" s="12">
        <v>0.46</v>
      </c>
      <c r="X50" s="12">
        <v>0.06</v>
      </c>
      <c r="Y50" s="12">
        <v>0.1</v>
      </c>
      <c r="Z50" s="12">
        <v>0.04</v>
      </c>
      <c r="AA50" s="10">
        <v>1476</v>
      </c>
      <c r="AB50" s="12">
        <v>33.58</v>
      </c>
      <c r="AC50" s="12">
        <v>18.989999999999998</v>
      </c>
      <c r="AD50" s="12">
        <v>35.07</v>
      </c>
      <c r="AE50" s="12">
        <v>8.74</v>
      </c>
      <c r="AF50" s="12">
        <v>0.64</v>
      </c>
      <c r="AG50" s="12">
        <v>0.26</v>
      </c>
      <c r="AH50" s="12">
        <v>0.64</v>
      </c>
      <c r="AI50" s="12">
        <v>0.89</v>
      </c>
      <c r="AJ50" s="12">
        <v>0.67</v>
      </c>
      <c r="AK50" s="12">
        <v>1.05</v>
      </c>
      <c r="AL50" s="12"/>
      <c r="AM50" s="12"/>
      <c r="AN50" s="12"/>
      <c r="AO50" s="12"/>
      <c r="AP50" s="12"/>
      <c r="AQ50" s="37">
        <v>2344</v>
      </c>
    </row>
    <row r="51" spans="1:43" x14ac:dyDescent="0.35">
      <c r="A51" s="16">
        <v>46161</v>
      </c>
      <c r="B51" s="33">
        <v>5519000</v>
      </c>
      <c r="C51" s="33">
        <v>6536475</v>
      </c>
      <c r="D51" s="34">
        <v>12246000</v>
      </c>
      <c r="E51" s="35">
        <v>190525</v>
      </c>
      <c r="F51" s="35">
        <v>800608</v>
      </c>
      <c r="G51" s="9"/>
      <c r="H51" s="10">
        <v>425594</v>
      </c>
      <c r="I51" s="9">
        <v>0</v>
      </c>
      <c r="J51" s="12">
        <v>3500</v>
      </c>
      <c r="K51" s="10">
        <v>404</v>
      </c>
      <c r="L51" s="10">
        <v>0</v>
      </c>
      <c r="M51" s="10">
        <v>95</v>
      </c>
      <c r="N51" s="35">
        <v>158</v>
      </c>
      <c r="O51" s="39">
        <v>2.39</v>
      </c>
      <c r="P51" s="15">
        <v>0</v>
      </c>
      <c r="Q51" s="15">
        <v>0</v>
      </c>
      <c r="R51" s="15">
        <v>7</v>
      </c>
      <c r="S51" s="9">
        <v>3</v>
      </c>
      <c r="T51" s="15">
        <v>4</v>
      </c>
      <c r="U51" s="12">
        <v>4.26</v>
      </c>
      <c r="V51" s="12">
        <v>0.13</v>
      </c>
      <c r="W51" s="12">
        <v>0.38</v>
      </c>
      <c r="X51" s="12">
        <v>0.04</v>
      </c>
      <c r="Y51" s="12">
        <v>0.1</v>
      </c>
      <c r="Z51" s="12">
        <v>0.04</v>
      </c>
      <c r="AA51" s="10">
        <v>1489</v>
      </c>
      <c r="AB51" s="12">
        <v>33.4</v>
      </c>
      <c r="AC51" s="12">
        <v>17.61</v>
      </c>
      <c r="AD51" s="12">
        <v>36.61</v>
      </c>
      <c r="AE51" s="12">
        <v>9.0500000000000007</v>
      </c>
      <c r="AF51" s="12">
        <v>0.45</v>
      </c>
      <c r="AG51" s="12">
        <v>0.26</v>
      </c>
      <c r="AH51" s="12">
        <v>0.57999999999999996</v>
      </c>
      <c r="AI51" s="12">
        <v>0.8</v>
      </c>
      <c r="AJ51" s="12">
        <v>0.71</v>
      </c>
      <c r="AK51" s="12">
        <v>1.1000000000000001</v>
      </c>
      <c r="AL51" s="12"/>
      <c r="AM51" s="12"/>
      <c r="AN51" s="12"/>
      <c r="AO51" s="12"/>
      <c r="AP51" s="12"/>
      <c r="AQ51" s="35">
        <v>2214</v>
      </c>
    </row>
    <row r="52" spans="1:43" x14ac:dyDescent="0.35">
      <c r="A52" s="16">
        <v>46162</v>
      </c>
      <c r="B52" s="36">
        <v>5691000</v>
      </c>
      <c r="C52" s="36">
        <v>6227758</v>
      </c>
      <c r="D52" s="34">
        <v>12395000</v>
      </c>
      <c r="E52" s="37">
        <v>476242</v>
      </c>
      <c r="F52" s="37">
        <v>799604</v>
      </c>
      <c r="G52" s="9">
        <v>0</v>
      </c>
      <c r="H52" s="10">
        <v>438187</v>
      </c>
      <c r="I52" s="9">
        <v>0</v>
      </c>
      <c r="J52" s="12">
        <v>3144</v>
      </c>
      <c r="K52" s="10">
        <v>289</v>
      </c>
      <c r="L52" s="9">
        <v>0</v>
      </c>
      <c r="M52" s="10">
        <v>127</v>
      </c>
      <c r="N52" s="37">
        <v>167</v>
      </c>
      <c r="O52" s="40">
        <v>2.54</v>
      </c>
      <c r="P52" s="15">
        <v>0</v>
      </c>
      <c r="Q52" s="15">
        <v>2</v>
      </c>
      <c r="R52" s="15">
        <v>6</v>
      </c>
      <c r="S52" s="9">
        <v>4</v>
      </c>
      <c r="T52" s="15">
        <v>4</v>
      </c>
      <c r="U52" s="12">
        <v>4.26</v>
      </c>
      <c r="V52" s="12">
        <v>0.12</v>
      </c>
      <c r="W52" s="12">
        <v>0.36</v>
      </c>
      <c r="X52" s="12">
        <v>0.05</v>
      </c>
      <c r="Y52" s="12">
        <v>0.1</v>
      </c>
      <c r="Z52" s="12">
        <v>0.03</v>
      </c>
      <c r="AA52" s="10">
        <v>1446</v>
      </c>
      <c r="AB52" s="12">
        <v>33.270000000000003</v>
      </c>
      <c r="AC52" s="12">
        <v>17.57</v>
      </c>
      <c r="AD52" s="12">
        <v>37.1</v>
      </c>
      <c r="AE52" s="12">
        <v>8.59</v>
      </c>
      <c r="AF52" s="12">
        <v>0.56999999999999995</v>
      </c>
      <c r="AG52" s="12">
        <v>0.27</v>
      </c>
      <c r="AH52" s="12">
        <v>0.59</v>
      </c>
      <c r="AI52" s="12">
        <v>0.82</v>
      </c>
      <c r="AJ52" s="12">
        <v>0.67</v>
      </c>
      <c r="AK52" s="12">
        <v>1.1200000000000001</v>
      </c>
      <c r="AL52" s="12"/>
      <c r="AM52" s="12"/>
      <c r="AN52" s="12"/>
      <c r="AO52" s="12"/>
      <c r="AP52" s="12"/>
      <c r="AQ52" s="37">
        <v>2330</v>
      </c>
    </row>
    <row r="53" spans="1:43" x14ac:dyDescent="0.35">
      <c r="A53" s="16">
        <v>46163</v>
      </c>
      <c r="B53" s="33">
        <v>5600000</v>
      </c>
      <c r="C53" s="33">
        <v>5921060</v>
      </c>
      <c r="D53" s="34">
        <v>12396000</v>
      </c>
      <c r="E53" s="35">
        <v>874940</v>
      </c>
      <c r="F53" s="35">
        <v>828429</v>
      </c>
      <c r="G53" s="9">
        <v>0</v>
      </c>
      <c r="H53" s="10">
        <v>422321</v>
      </c>
      <c r="I53" s="9">
        <v>0</v>
      </c>
      <c r="J53" s="12">
        <v>3323</v>
      </c>
      <c r="K53" s="10">
        <v>201</v>
      </c>
      <c r="L53" s="10">
        <v>0</v>
      </c>
      <c r="M53" s="10">
        <v>176</v>
      </c>
      <c r="N53" s="35">
        <v>169</v>
      </c>
      <c r="O53" s="39">
        <v>2.56</v>
      </c>
      <c r="P53" s="15">
        <v>0</v>
      </c>
      <c r="Q53" s="15">
        <v>0</v>
      </c>
      <c r="R53" s="15">
        <v>0</v>
      </c>
      <c r="S53" s="9">
        <v>0</v>
      </c>
      <c r="T53" s="9">
        <v>0</v>
      </c>
      <c r="U53" s="9">
        <v>4.26</v>
      </c>
      <c r="V53" s="9">
        <v>0.13</v>
      </c>
      <c r="W53" s="9">
        <v>0.56000000000000005</v>
      </c>
      <c r="X53" s="12">
        <v>0.04</v>
      </c>
      <c r="Y53" s="12">
        <v>0.11</v>
      </c>
      <c r="Z53" s="12">
        <v>0.05</v>
      </c>
      <c r="AA53" s="10">
        <v>1470</v>
      </c>
      <c r="AB53" s="12">
        <v>33.81</v>
      </c>
      <c r="AC53" s="12">
        <v>19.09</v>
      </c>
      <c r="AD53" s="12">
        <v>35.380000000000003</v>
      </c>
      <c r="AE53" s="12">
        <v>8.27</v>
      </c>
      <c r="AF53" s="12">
        <v>0.59</v>
      </c>
      <c r="AG53" s="12">
        <v>0.26</v>
      </c>
      <c r="AH53" s="12">
        <v>0.56000000000000005</v>
      </c>
      <c r="AI53" s="12">
        <v>0.81</v>
      </c>
      <c r="AJ53" s="12">
        <v>0.72</v>
      </c>
      <c r="AK53" s="12">
        <v>1.05</v>
      </c>
      <c r="AL53" s="12"/>
      <c r="AM53" s="12"/>
      <c r="AN53" s="12"/>
      <c r="AO53" s="12"/>
      <c r="AP53" s="12"/>
      <c r="AQ53" s="35">
        <v>2365</v>
      </c>
    </row>
    <row r="54" spans="1:43" x14ac:dyDescent="0.35">
      <c r="A54" s="16">
        <v>46164</v>
      </c>
      <c r="B54" s="36">
        <v>5898000</v>
      </c>
      <c r="C54" s="36">
        <v>6211884</v>
      </c>
      <c r="D54" s="34">
        <v>12819000</v>
      </c>
      <c r="E54" s="37">
        <v>709116</v>
      </c>
      <c r="F54" s="37">
        <v>796474</v>
      </c>
      <c r="G54" s="9">
        <v>0</v>
      </c>
      <c r="H54" s="10">
        <v>478747</v>
      </c>
      <c r="I54" s="9">
        <v>0</v>
      </c>
      <c r="J54" s="12">
        <v>3314</v>
      </c>
      <c r="K54" s="10">
        <v>329</v>
      </c>
      <c r="L54" s="10">
        <v>0</v>
      </c>
      <c r="M54" s="10">
        <v>167</v>
      </c>
      <c r="N54" s="37">
        <v>158</v>
      </c>
      <c r="O54" s="40">
        <v>2.58</v>
      </c>
      <c r="P54" s="15">
        <v>0</v>
      </c>
      <c r="Q54" s="15">
        <v>6</v>
      </c>
      <c r="R54" s="15">
        <v>2</v>
      </c>
      <c r="S54" s="9">
        <v>5</v>
      </c>
      <c r="T54" s="15">
        <v>4</v>
      </c>
      <c r="U54" s="12">
        <v>4.26</v>
      </c>
      <c r="V54" s="12">
        <v>0.13</v>
      </c>
      <c r="W54" s="12">
        <v>0.51</v>
      </c>
      <c r="X54" s="12">
        <v>0.04</v>
      </c>
      <c r="Y54" s="12">
        <v>0.1</v>
      </c>
      <c r="Z54" s="12">
        <v>0.05</v>
      </c>
      <c r="AA54" s="10">
        <v>1478</v>
      </c>
      <c r="AB54" s="12">
        <v>33.67</v>
      </c>
      <c r="AC54" s="12">
        <v>18.63</v>
      </c>
      <c r="AD54" s="12">
        <v>36.4</v>
      </c>
      <c r="AE54" s="12">
        <v>7.87</v>
      </c>
      <c r="AF54" s="12">
        <v>0.54</v>
      </c>
      <c r="AG54" s="12">
        <v>0.24</v>
      </c>
      <c r="AH54" s="12">
        <v>0.57999999999999996</v>
      </c>
      <c r="AI54" s="12">
        <v>0.81</v>
      </c>
      <c r="AJ54" s="12">
        <v>0.72</v>
      </c>
      <c r="AK54" s="12">
        <v>1.08</v>
      </c>
      <c r="AL54" s="12"/>
      <c r="AM54" s="12"/>
      <c r="AN54" s="12"/>
      <c r="AO54" s="12"/>
      <c r="AP54" s="12"/>
      <c r="AQ54" s="37">
        <v>2358</v>
      </c>
    </row>
    <row r="55" spans="1:43" x14ac:dyDescent="0.35">
      <c r="A55" s="16">
        <v>46165</v>
      </c>
      <c r="B55" s="33">
        <v>5310000</v>
      </c>
      <c r="C55" s="33">
        <v>6130992</v>
      </c>
      <c r="D55" s="34">
        <v>11978000</v>
      </c>
      <c r="E55" s="35">
        <v>537008</v>
      </c>
      <c r="F55" s="35">
        <v>776562</v>
      </c>
      <c r="G55" s="9">
        <v>0</v>
      </c>
      <c r="H55" s="10">
        <v>454153</v>
      </c>
      <c r="I55" s="10">
        <v>1317073</v>
      </c>
      <c r="J55" s="12">
        <v>3234</v>
      </c>
      <c r="K55" s="10">
        <v>152</v>
      </c>
      <c r="L55" s="10">
        <v>32</v>
      </c>
      <c r="M55" s="10">
        <v>236</v>
      </c>
      <c r="N55" s="35">
        <v>145</v>
      </c>
      <c r="O55" s="39">
        <v>2.56</v>
      </c>
      <c r="P55" s="15">
        <v>0</v>
      </c>
      <c r="Q55" s="15">
        <v>4</v>
      </c>
      <c r="R55" s="15">
        <v>3</v>
      </c>
      <c r="S55" s="9">
        <v>5</v>
      </c>
      <c r="T55" s="15">
        <v>4</v>
      </c>
      <c r="U55" s="12">
        <v>4.25</v>
      </c>
      <c r="V55" s="12">
        <v>0.14000000000000001</v>
      </c>
      <c r="W55" s="12">
        <v>0.54</v>
      </c>
      <c r="X55" s="12">
        <v>0.04</v>
      </c>
      <c r="Y55" s="12">
        <v>0.1</v>
      </c>
      <c r="Z55" s="12">
        <v>0.05</v>
      </c>
      <c r="AA55" s="10">
        <v>1481</v>
      </c>
      <c r="AB55" s="12">
        <v>32.979999999999997</v>
      </c>
      <c r="AC55" s="12">
        <v>18.61</v>
      </c>
      <c r="AD55" s="12">
        <v>37.380000000000003</v>
      </c>
      <c r="AE55" s="12">
        <v>7.63</v>
      </c>
      <c r="AF55" s="12">
        <v>0.49</v>
      </c>
      <c r="AG55" s="12">
        <v>0.26</v>
      </c>
      <c r="AH55" s="12">
        <v>0.56999999999999995</v>
      </c>
      <c r="AI55" s="12">
        <v>0.81</v>
      </c>
      <c r="AJ55" s="12">
        <v>0.75</v>
      </c>
      <c r="AK55" s="12">
        <v>1.1299999999999999</v>
      </c>
      <c r="AL55" s="12"/>
      <c r="AM55" s="12"/>
      <c r="AN55" s="12"/>
      <c r="AO55" s="12"/>
      <c r="AP55" s="12"/>
      <c r="AQ55" s="35">
        <v>2323</v>
      </c>
    </row>
    <row r="56" spans="1:43" x14ac:dyDescent="0.35">
      <c r="A56" s="16">
        <v>46166</v>
      </c>
      <c r="B56" s="36">
        <v>4762000</v>
      </c>
      <c r="C56" s="36">
        <v>5868265</v>
      </c>
      <c r="D56" s="34">
        <v>10879000</v>
      </c>
      <c r="E56" s="37">
        <v>248735</v>
      </c>
      <c r="F56" s="37">
        <v>642851</v>
      </c>
      <c r="G56" s="9">
        <v>0</v>
      </c>
      <c r="H56" s="10">
        <v>458666</v>
      </c>
      <c r="I56" s="10">
        <v>1306983</v>
      </c>
      <c r="J56" s="12">
        <v>3108</v>
      </c>
      <c r="K56" s="10">
        <v>427</v>
      </c>
      <c r="L56" s="10">
        <v>106</v>
      </c>
      <c r="M56" s="9"/>
      <c r="N56" s="37">
        <v>166</v>
      </c>
      <c r="O56" s="40">
        <v>2.5</v>
      </c>
      <c r="P56" s="15">
        <v>0</v>
      </c>
      <c r="Q56" s="15">
        <v>7</v>
      </c>
      <c r="R56" s="15">
        <v>3</v>
      </c>
      <c r="S56" s="9">
        <v>4</v>
      </c>
      <c r="T56" s="15">
        <v>5</v>
      </c>
      <c r="U56" s="12">
        <v>4.26</v>
      </c>
      <c r="V56" s="12">
        <v>0.2</v>
      </c>
      <c r="W56" s="12">
        <v>0.52</v>
      </c>
      <c r="X56" s="12">
        <v>0.03</v>
      </c>
      <c r="Y56" s="12">
        <v>0.1</v>
      </c>
      <c r="Z56" s="12">
        <v>0.06</v>
      </c>
      <c r="AA56" s="10">
        <v>1481</v>
      </c>
      <c r="AB56" s="12">
        <v>32.39</v>
      </c>
      <c r="AC56" s="12">
        <v>18.329999999999998</v>
      </c>
      <c r="AD56" s="12">
        <v>38.29</v>
      </c>
      <c r="AE56" s="12">
        <v>7.63</v>
      </c>
      <c r="AF56" s="12">
        <v>0.45</v>
      </c>
      <c r="AG56" s="12">
        <v>0.28999999999999998</v>
      </c>
      <c r="AH56" s="12">
        <v>0.54</v>
      </c>
      <c r="AI56" s="12">
        <v>0.79</v>
      </c>
      <c r="AJ56" s="12">
        <v>0.69</v>
      </c>
      <c r="AK56" s="12">
        <v>1.19</v>
      </c>
      <c r="AL56" s="12"/>
      <c r="AM56" s="12"/>
      <c r="AN56" s="12"/>
      <c r="AO56" s="12"/>
      <c r="AP56" s="12"/>
      <c r="AQ56" s="37">
        <v>2228</v>
      </c>
    </row>
    <row r="57" spans="1:43" x14ac:dyDescent="0.35">
      <c r="A57" s="16">
        <v>46167</v>
      </c>
      <c r="B57" s="33">
        <v>5027000</v>
      </c>
      <c r="C57" s="33">
        <v>5956873</v>
      </c>
      <c r="D57" s="34">
        <v>11525000</v>
      </c>
      <c r="E57" s="35">
        <v>541127</v>
      </c>
      <c r="F57" s="35">
        <v>646625</v>
      </c>
      <c r="G57" s="9">
        <v>0</v>
      </c>
      <c r="H57" s="10">
        <v>441986</v>
      </c>
      <c r="I57" s="10">
        <v>1318091</v>
      </c>
      <c r="J57" s="12">
        <v>3159</v>
      </c>
      <c r="K57" s="10">
        <v>341</v>
      </c>
      <c r="L57" s="10">
        <v>70</v>
      </c>
      <c r="M57" s="10">
        <v>37</v>
      </c>
      <c r="N57" s="35">
        <v>159</v>
      </c>
      <c r="O57" s="39">
        <v>2.54</v>
      </c>
      <c r="P57" s="15">
        <v>0</v>
      </c>
      <c r="Q57" s="15">
        <v>3</v>
      </c>
      <c r="R57" s="15">
        <v>3</v>
      </c>
      <c r="S57" s="9">
        <v>3</v>
      </c>
      <c r="T57" s="15">
        <v>4</v>
      </c>
      <c r="U57" s="12">
        <v>4.26</v>
      </c>
      <c r="V57" s="12">
        <v>0.21</v>
      </c>
      <c r="W57" s="12">
        <v>0.51</v>
      </c>
      <c r="X57" s="12">
        <v>0.03</v>
      </c>
      <c r="Y57" s="12">
        <v>0.11</v>
      </c>
      <c r="Z57" s="12">
        <v>0.06</v>
      </c>
      <c r="AA57" s="10">
        <v>1480</v>
      </c>
      <c r="AB57" s="12">
        <v>31.18</v>
      </c>
      <c r="AC57" s="12">
        <v>166.92</v>
      </c>
      <c r="AD57" s="12">
        <v>40.26</v>
      </c>
      <c r="AE57" s="12">
        <v>7.39</v>
      </c>
      <c r="AF57" s="12">
        <v>0.5</v>
      </c>
      <c r="AG57" s="12">
        <v>0.24</v>
      </c>
      <c r="AH57" s="12">
        <v>0.53</v>
      </c>
      <c r="AI57" s="12">
        <v>0.75</v>
      </c>
      <c r="AJ57" s="12">
        <v>0.72</v>
      </c>
      <c r="AK57" s="12">
        <v>1.29</v>
      </c>
      <c r="AL57" s="12"/>
      <c r="AM57" s="12"/>
      <c r="AN57" s="12"/>
      <c r="AO57" s="12"/>
      <c r="AP57" s="12"/>
      <c r="AQ57" s="35">
        <v>2226</v>
      </c>
    </row>
    <row r="58" spans="1:43" x14ac:dyDescent="0.35">
      <c r="A58" s="16">
        <v>46168</v>
      </c>
      <c r="B58" s="36">
        <v>5537000</v>
      </c>
      <c r="C58" s="36">
        <v>5559015</v>
      </c>
      <c r="D58" s="34">
        <v>11734000</v>
      </c>
      <c r="E58" s="37">
        <v>637985</v>
      </c>
      <c r="F58" s="37">
        <v>809422</v>
      </c>
      <c r="G58" s="9">
        <v>0</v>
      </c>
      <c r="H58" s="10">
        <v>499116</v>
      </c>
      <c r="I58" s="10">
        <v>1302261</v>
      </c>
      <c r="J58" s="12">
        <v>3405</v>
      </c>
      <c r="K58" s="10">
        <v>135</v>
      </c>
      <c r="L58" s="10">
        <v>106</v>
      </c>
      <c r="M58" s="10">
        <v>68</v>
      </c>
      <c r="N58" s="37">
        <v>145</v>
      </c>
      <c r="O58" s="40">
        <v>2.54</v>
      </c>
      <c r="P58" s="15">
        <v>0</v>
      </c>
      <c r="Q58" s="15">
        <v>5</v>
      </c>
      <c r="R58" s="15">
        <v>2</v>
      </c>
      <c r="S58" s="9">
        <v>4</v>
      </c>
      <c r="T58" s="15">
        <v>4</v>
      </c>
      <c r="U58" s="12">
        <v>4.26</v>
      </c>
      <c r="V58" s="12">
        <v>0.19</v>
      </c>
      <c r="W58" s="12">
        <v>0.57999999999999996</v>
      </c>
      <c r="X58" s="12">
        <v>0.03</v>
      </c>
      <c r="Y58" s="12">
        <v>0.11</v>
      </c>
      <c r="Z58" s="12">
        <v>0.06</v>
      </c>
      <c r="AA58" s="10">
        <v>1491</v>
      </c>
      <c r="AB58" s="12">
        <v>32.85</v>
      </c>
      <c r="AC58" s="12">
        <v>18.75</v>
      </c>
      <c r="AD58" s="12">
        <v>37.549999999999997</v>
      </c>
      <c r="AE58" s="12">
        <v>7.67</v>
      </c>
      <c r="AF58" s="12">
        <v>0.43</v>
      </c>
      <c r="AG58" s="12">
        <v>0.25</v>
      </c>
      <c r="AH58" s="12">
        <v>0.61</v>
      </c>
      <c r="AI58" s="12">
        <v>0.72</v>
      </c>
      <c r="AJ58" s="12">
        <v>0.67</v>
      </c>
      <c r="AK58" s="12">
        <v>1.1499999999999999</v>
      </c>
      <c r="AL58" s="12"/>
      <c r="AM58" s="12"/>
      <c r="AN58" s="12"/>
      <c r="AO58" s="12"/>
      <c r="AP58" s="12"/>
      <c r="AQ58" s="37">
        <v>2255</v>
      </c>
    </row>
    <row r="59" spans="1:43" x14ac:dyDescent="0.35">
      <c r="A59" s="16">
        <v>46169</v>
      </c>
      <c r="B59" s="33">
        <v>5355000</v>
      </c>
      <c r="C59" s="33">
        <v>5989420</v>
      </c>
      <c r="D59" s="34">
        <v>11610000</v>
      </c>
      <c r="E59" s="35">
        <v>265580</v>
      </c>
      <c r="F59" s="35">
        <v>713229</v>
      </c>
      <c r="G59" s="9">
        <v>0</v>
      </c>
      <c r="H59" s="10">
        <v>494207</v>
      </c>
      <c r="I59" s="10">
        <v>1315297</v>
      </c>
      <c r="J59" s="12">
        <v>3252</v>
      </c>
      <c r="K59" s="10">
        <v>305</v>
      </c>
      <c r="L59" s="10">
        <v>63</v>
      </c>
      <c r="M59" s="10">
        <v>0</v>
      </c>
      <c r="N59" s="35">
        <v>155</v>
      </c>
      <c r="O59" s="39">
        <v>3</v>
      </c>
      <c r="P59" s="15">
        <v>0</v>
      </c>
      <c r="Q59" s="15">
        <v>4</v>
      </c>
      <c r="R59" s="15">
        <v>3</v>
      </c>
      <c r="S59" s="9">
        <v>4</v>
      </c>
      <c r="T59" s="15">
        <v>4</v>
      </c>
      <c r="U59" s="12">
        <v>4.26</v>
      </c>
      <c r="V59" s="12">
        <v>0.17</v>
      </c>
      <c r="W59" s="12">
        <v>0.54</v>
      </c>
      <c r="X59" s="12">
        <v>0.03</v>
      </c>
      <c r="Y59" s="12">
        <v>0.12</v>
      </c>
      <c r="Z59" s="12">
        <v>0.05</v>
      </c>
      <c r="AA59" s="10">
        <v>1483</v>
      </c>
      <c r="AB59" s="12">
        <v>32.33</v>
      </c>
      <c r="AC59" s="12">
        <v>19.05</v>
      </c>
      <c r="AD59" s="12">
        <v>37.950000000000003</v>
      </c>
      <c r="AE59" s="12">
        <v>7.01</v>
      </c>
      <c r="AF59" s="12">
        <v>0.47</v>
      </c>
      <c r="AG59" s="12">
        <v>0.28000000000000003</v>
      </c>
      <c r="AH59" s="12">
        <v>0.63</v>
      </c>
      <c r="AI59" s="12">
        <v>0.8</v>
      </c>
      <c r="AJ59" s="12">
        <v>0.69</v>
      </c>
      <c r="AK59" s="12">
        <v>1.18</v>
      </c>
      <c r="AL59" s="12"/>
      <c r="AM59" s="12"/>
      <c r="AN59" s="12"/>
      <c r="AO59" s="12"/>
      <c r="AP59" s="12"/>
      <c r="AQ59" s="35">
        <v>2267</v>
      </c>
    </row>
    <row r="60" spans="1:43" x14ac:dyDescent="0.35">
      <c r="A60" s="16">
        <v>46170</v>
      </c>
      <c r="B60" s="36">
        <v>4851000</v>
      </c>
      <c r="C60" s="36">
        <v>6110189</v>
      </c>
      <c r="D60" s="34">
        <v>11108000</v>
      </c>
      <c r="E60" s="37">
        <v>146811</v>
      </c>
      <c r="F60" s="37">
        <v>624526</v>
      </c>
      <c r="G60" s="9">
        <v>47</v>
      </c>
      <c r="H60" s="10">
        <v>362924</v>
      </c>
      <c r="I60" s="10">
        <v>1288654</v>
      </c>
      <c r="J60" s="12">
        <v>2968</v>
      </c>
      <c r="K60" s="10">
        <v>253</v>
      </c>
      <c r="L60" s="10">
        <v>64</v>
      </c>
      <c r="M60" s="10">
        <v>0</v>
      </c>
      <c r="N60" s="37">
        <v>165</v>
      </c>
      <c r="O60" s="40">
        <v>2.44</v>
      </c>
      <c r="P60" s="15">
        <v>0</v>
      </c>
      <c r="Q60" s="15">
        <v>4</v>
      </c>
      <c r="R60" s="15">
        <v>3</v>
      </c>
      <c r="S60" s="9">
        <v>4</v>
      </c>
      <c r="T60" s="15">
        <v>3</v>
      </c>
      <c r="U60" s="12">
        <v>4.2699999999999996</v>
      </c>
      <c r="V60" s="12">
        <v>0.18</v>
      </c>
      <c r="W60" s="12">
        <v>0.44</v>
      </c>
      <c r="X60" s="12">
        <v>0.03</v>
      </c>
      <c r="Y60" s="12">
        <v>0.12</v>
      </c>
      <c r="Z60" s="12">
        <v>0.05</v>
      </c>
      <c r="AA60" s="10">
        <v>1493</v>
      </c>
      <c r="AB60" s="12">
        <v>31.22</v>
      </c>
      <c r="AC60" s="12">
        <v>20.13</v>
      </c>
      <c r="AD60" s="12">
        <v>37.46</v>
      </c>
      <c r="AE60" s="12">
        <v>7.66</v>
      </c>
      <c r="AF60" s="12">
        <v>0.47</v>
      </c>
      <c r="AG60" s="12">
        <v>0.31</v>
      </c>
      <c r="AH60" s="12">
        <v>0.64</v>
      </c>
      <c r="AI60" s="12">
        <v>0.87</v>
      </c>
      <c r="AJ60" s="12">
        <v>0.67</v>
      </c>
      <c r="AK60" s="12">
        <v>1.2</v>
      </c>
      <c r="AL60" s="12"/>
      <c r="AM60" s="12"/>
      <c r="AN60" s="12"/>
      <c r="AO60" s="12"/>
      <c r="AP60" s="12"/>
      <c r="AQ60" s="37">
        <v>2260</v>
      </c>
    </row>
    <row r="61" spans="1:43" x14ac:dyDescent="0.35">
      <c r="A61" s="16">
        <v>46171</v>
      </c>
      <c r="B61" s="33">
        <v>4520000</v>
      </c>
      <c r="C61" s="33">
        <v>5663552</v>
      </c>
      <c r="D61" s="34">
        <v>10340000</v>
      </c>
      <c r="E61" s="35">
        <v>156448</v>
      </c>
      <c r="F61" s="35">
        <v>470247</v>
      </c>
      <c r="G61" s="9">
        <v>54</v>
      </c>
      <c r="H61" s="10">
        <v>474775</v>
      </c>
      <c r="I61" s="10">
        <v>1244122</v>
      </c>
      <c r="J61" s="12">
        <v>2858</v>
      </c>
      <c r="K61" s="10">
        <v>306</v>
      </c>
      <c r="L61" s="10">
        <v>174</v>
      </c>
      <c r="M61" s="10">
        <v>0</v>
      </c>
      <c r="N61" s="35">
        <v>166</v>
      </c>
      <c r="O61" s="39">
        <v>2.2200000000000002</v>
      </c>
      <c r="P61" s="15">
        <v>0</v>
      </c>
      <c r="Q61" s="15">
        <v>4</v>
      </c>
      <c r="R61" s="15">
        <v>3</v>
      </c>
      <c r="S61" s="9">
        <v>4</v>
      </c>
      <c r="T61" s="15">
        <v>5</v>
      </c>
      <c r="U61" s="12">
        <v>4.25</v>
      </c>
      <c r="V61" s="12">
        <v>0.16</v>
      </c>
      <c r="W61" s="12">
        <v>0.5</v>
      </c>
      <c r="X61" s="12">
        <v>0.03</v>
      </c>
      <c r="Y61" s="12">
        <v>0.13</v>
      </c>
      <c r="Z61" s="12">
        <v>0.05</v>
      </c>
      <c r="AA61" s="10">
        <v>1481</v>
      </c>
      <c r="AB61" s="12">
        <v>30.25</v>
      </c>
      <c r="AC61" s="12">
        <v>19.98</v>
      </c>
      <c r="AD61" s="12">
        <v>38.549999999999997</v>
      </c>
      <c r="AE61" s="12">
        <v>7.91</v>
      </c>
      <c r="AF61" s="12">
        <v>0.39</v>
      </c>
      <c r="AG61" s="12">
        <v>0.24</v>
      </c>
      <c r="AH61" s="12">
        <v>0.55000000000000004</v>
      </c>
      <c r="AI61" s="12">
        <v>0.86</v>
      </c>
      <c r="AJ61" s="12">
        <v>0.73</v>
      </c>
      <c r="AK61" s="12">
        <v>1.28</v>
      </c>
      <c r="AL61" s="12"/>
      <c r="AM61" s="12"/>
      <c r="AN61" s="12"/>
      <c r="AO61" s="12"/>
      <c r="AP61" s="12"/>
      <c r="AQ61" s="35">
        <v>2230</v>
      </c>
    </row>
    <row r="62" spans="1:43" x14ac:dyDescent="0.35">
      <c r="A62" s="16">
        <v>46172</v>
      </c>
      <c r="B62" s="36">
        <v>5653000</v>
      </c>
      <c r="C62" s="36">
        <v>6209256</v>
      </c>
      <c r="D62" s="34">
        <v>12327000</v>
      </c>
      <c r="E62" s="37">
        <v>464744</v>
      </c>
      <c r="F62" s="37">
        <v>867849</v>
      </c>
      <c r="G62" s="9">
        <v>150</v>
      </c>
      <c r="H62" s="10">
        <v>536991</v>
      </c>
      <c r="I62" s="10">
        <v>1306870</v>
      </c>
      <c r="J62" s="12">
        <v>3440</v>
      </c>
      <c r="K62" s="10">
        <v>340</v>
      </c>
      <c r="L62" s="10">
        <v>223</v>
      </c>
      <c r="M62" s="10">
        <v>24</v>
      </c>
      <c r="N62" s="37">
        <v>148</v>
      </c>
      <c r="O62" s="40">
        <v>2.54</v>
      </c>
      <c r="P62" s="15">
        <v>0</v>
      </c>
      <c r="Q62" s="15">
        <v>4</v>
      </c>
      <c r="R62" s="15">
        <v>4</v>
      </c>
      <c r="S62" s="9">
        <v>4</v>
      </c>
      <c r="T62" s="15">
        <v>4</v>
      </c>
      <c r="U62" s="12">
        <v>4.24</v>
      </c>
      <c r="V62" s="12">
        <v>0.14000000000000001</v>
      </c>
      <c r="W62" s="12">
        <v>0.49</v>
      </c>
      <c r="X62" s="12">
        <v>0.04</v>
      </c>
      <c r="Y62" s="12">
        <v>0.12</v>
      </c>
      <c r="Z62" s="12">
        <v>0.04</v>
      </c>
      <c r="AA62" s="10">
        <v>1491</v>
      </c>
      <c r="AB62" s="12">
        <v>32.08</v>
      </c>
      <c r="AC62" s="12">
        <v>19.37</v>
      </c>
      <c r="AD62" s="12">
        <v>38.28</v>
      </c>
      <c r="AE62" s="12">
        <v>6.74</v>
      </c>
      <c r="AF62" s="12">
        <v>0.55000000000000004</v>
      </c>
      <c r="AG62" s="12">
        <v>0.26</v>
      </c>
      <c r="AH62" s="12">
        <v>0.63</v>
      </c>
      <c r="AI62" s="12">
        <v>0.87</v>
      </c>
      <c r="AJ62" s="12">
        <v>0.69</v>
      </c>
      <c r="AK62" s="12">
        <v>1.2</v>
      </c>
      <c r="AL62" s="12"/>
      <c r="AM62" s="12"/>
      <c r="AN62" s="12"/>
      <c r="AO62" s="12"/>
      <c r="AP62" s="12"/>
      <c r="AQ62" s="37">
        <v>2260</v>
      </c>
    </row>
    <row r="63" spans="1:43" x14ac:dyDescent="0.35">
      <c r="A63" s="16">
        <v>46173</v>
      </c>
      <c r="B63" s="33">
        <v>5946000</v>
      </c>
      <c r="C63" s="33">
        <v>5920911</v>
      </c>
      <c r="D63" s="34">
        <v>12510000</v>
      </c>
      <c r="E63" s="35">
        <v>643089</v>
      </c>
      <c r="F63" s="35">
        <v>907020</v>
      </c>
      <c r="G63" s="9">
        <v>97</v>
      </c>
      <c r="H63" s="10">
        <v>541851</v>
      </c>
      <c r="I63" s="10">
        <v>1315385</v>
      </c>
      <c r="J63" s="12">
        <v>3729</v>
      </c>
      <c r="K63" s="10">
        <v>304</v>
      </c>
      <c r="L63" s="10">
        <v>125</v>
      </c>
      <c r="M63" s="10">
        <v>195</v>
      </c>
      <c r="N63" s="35">
        <v>143</v>
      </c>
      <c r="O63" s="39">
        <v>2.54</v>
      </c>
      <c r="P63" s="15">
        <v>0</v>
      </c>
      <c r="Q63" s="15">
        <v>4</v>
      </c>
      <c r="R63" s="15">
        <v>3</v>
      </c>
      <c r="S63" s="9">
        <v>3</v>
      </c>
      <c r="T63" s="15">
        <v>4</v>
      </c>
      <c r="U63" s="12">
        <v>4.25</v>
      </c>
      <c r="V63" s="12">
        <v>0.14000000000000001</v>
      </c>
      <c r="W63" s="12">
        <v>0.51</v>
      </c>
      <c r="X63" s="12">
        <v>0.03</v>
      </c>
      <c r="Y63" s="12">
        <v>0.12</v>
      </c>
      <c r="Z63" s="12">
        <v>0.05</v>
      </c>
      <c r="AA63" s="10">
        <v>1485</v>
      </c>
      <c r="AB63" s="12">
        <v>32.04</v>
      </c>
      <c r="AC63" s="12">
        <v>19.04</v>
      </c>
      <c r="AD63" s="12">
        <v>37.72</v>
      </c>
      <c r="AE63" s="12">
        <v>8</v>
      </c>
      <c r="AF63" s="12">
        <v>0.44</v>
      </c>
      <c r="AG63" s="12">
        <v>0.23</v>
      </c>
      <c r="AH63" s="12">
        <v>0.54</v>
      </c>
      <c r="AI63" s="12">
        <v>0.81</v>
      </c>
      <c r="AJ63" s="12">
        <v>0.73</v>
      </c>
      <c r="AK63" s="12">
        <v>1.18</v>
      </c>
      <c r="AL63" s="12"/>
      <c r="AM63" s="12"/>
      <c r="AN63" s="12"/>
      <c r="AO63" s="12"/>
      <c r="AP63" s="12"/>
      <c r="AQ63" s="35">
        <v>2302</v>
      </c>
    </row>
    <row r="64" spans="1:43" x14ac:dyDescent="0.35">
      <c r="A64" s="29"/>
      <c r="D64" s="30"/>
      <c r="AP64" s="32"/>
    </row>
    <row r="65" spans="1:43" x14ac:dyDescent="0.35">
      <c r="A65" s="29"/>
      <c r="D65" s="31"/>
      <c r="AP65" s="32"/>
    </row>
    <row r="66" spans="1:43" x14ac:dyDescent="0.35">
      <c r="A66" s="29"/>
      <c r="D66" s="31"/>
      <c r="AP66" s="32"/>
      <c r="AQ66" s="4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BF-2_Subhadrika</vt:lpstr>
      <vt:lpstr>Process_Parameters</vt:lpstr>
      <vt:lpstr>Raw_Material_Analysis</vt:lpstr>
      <vt:lpstr>BF_Gas and Hot_Metal_Analysis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Kumar</cp:lastModifiedBy>
  <dcterms:created xsi:type="dcterms:W3CDTF">2026-07-14T05:23:00Z</dcterms:created>
  <dcterms:modified xsi:type="dcterms:W3CDTF">2026-07-15T18:02:59Z</dcterms:modified>
</cp:coreProperties>
</file>